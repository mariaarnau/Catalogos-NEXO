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Locales" sheetId="2" state="visible" r:id="rId2"/>
    <sheet name="Plantas" sheetId="3" state="visible" r:id="rId3"/>
    <sheet name="Escal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sz val="9"/>
    </font>
    <font>
      <name val="Arial"/>
      <b val="1"/>
      <sz val="12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3" fillId="0" borderId="0" pivotButton="0" quotePrefix="0" xfId="0"/>
    <xf numFmtId="164" fontId="5" fillId="0" borderId="0" pivotButton="0" quotePrefix="0" xfId="0"/>
    <xf numFmtId="0" fontId="7" fillId="0" borderId="0" pivotButton="0" quotePrefix="0" xfId="0"/>
    <xf numFmtId="164" fontId="4" fillId="0" borderId="0" pivotButton="0" quotePrefix="0" xfId="0"/>
    <xf numFmtId="2" fontId="8" fillId="0" borderId="0" pivotButton="0" quotePrefix="0" xfId="0"/>
    <xf numFmtId="2" fontId="4" fillId="0" borderId="0" pivotButton="0" quotePrefix="0" xfId="0"/>
    <xf numFmtId="2" fontId="3" fillId="0" borderId="0" pivotButton="0" quotePrefix="0" xfId="0"/>
    <xf numFmtId="0" fontId="8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ET48</author>
  </authors>
  <commentList>
    <comment ref="B25" authorId="0" shapeId="0">
      <text>
        <t>Coeficientes UNE 149201:2008 para hoteles (de memoria del redactor). COMPROBAR con los apuntes / norma antes de entregar.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60" customWidth="1" min="4" max="4"/>
  </cols>
  <sheetData>
    <row r="1">
      <c r="A1" s="1" t="inlineStr">
        <is>
          <t>TRABAJO INSTALACIONES DE FLUIDOS 2026-27 · EQUIPO 48 · Hotel 3*</t>
        </is>
      </c>
    </row>
    <row r="2">
      <c r="A2" s="2" t="inlineStr">
        <is>
          <t>Leyenda: texto azul = dato de entrada (editable) · negro = fórmula · fondo amarillo = hipótesis a confirmar con el tutor</t>
        </is>
      </c>
    </row>
    <row r="4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Fuente / nota</t>
        </is>
      </c>
    </row>
    <row r="5">
      <c r="A5" s="4" t="inlineStr">
        <is>
          <t>Equipo</t>
        </is>
      </c>
      <c r="B5" s="5" t="n">
        <v>48</v>
      </c>
      <c r="C5" s="4" t="inlineStr"/>
      <c r="D5" s="6" t="inlineStr">
        <is>
          <t>Enunciado, Anexo I</t>
        </is>
      </c>
    </row>
    <row r="6">
      <c r="A6" s="4" t="inlineStr">
        <is>
          <t>Tipo de suministro</t>
        </is>
      </c>
      <c r="B6" s="4" t="inlineStr">
        <is>
          <t>Mixto (DIR+ALJ)</t>
        </is>
      </c>
      <c r="C6" s="4" t="inlineStr"/>
      <c r="D6" s="6" t="inlineStr">
        <is>
          <t>Enunciado, Anexo I</t>
        </is>
      </c>
    </row>
    <row r="7">
      <c r="A7" s="4" t="inlineStr">
        <is>
          <t>Presión de red (a cota calzada 0,00)</t>
        </is>
      </c>
      <c r="B7" s="5" t="n">
        <v>40</v>
      </c>
      <c r="C7" s="4" t="inlineStr">
        <is>
          <t>mca</t>
        </is>
      </c>
      <c r="D7" s="6" t="inlineStr">
        <is>
          <t>Enunciado, Anexo I</t>
        </is>
      </c>
    </row>
    <row r="8">
      <c r="A8" s="4" t="inlineStr">
        <is>
          <t>Plantas por encima de PB</t>
        </is>
      </c>
      <c r="B8" s="5" t="n">
        <v>11</v>
      </c>
      <c r="C8" s="4" t="inlineStr"/>
      <c r="D8" s="6" t="inlineStr">
        <is>
          <t>Enunciado, Anexo I</t>
        </is>
      </c>
    </row>
    <row r="9">
      <c r="A9" s="4" t="inlineStr">
        <is>
          <t>Emplazamiento</t>
        </is>
      </c>
      <c r="B9" s="4" t="inlineStr">
        <is>
          <t>Barcelona</t>
        </is>
      </c>
      <c r="C9" s="4" t="inlineStr"/>
      <c r="D9" s="6" t="inlineStr">
        <is>
          <t>Enunciado, Anexo I</t>
        </is>
      </c>
    </row>
    <row r="10">
      <c r="A10" s="4" t="inlineStr">
        <is>
          <t>Acometidas</t>
        </is>
      </c>
      <c r="B10" s="4" t="inlineStr">
        <is>
          <t>Este/Oeste</t>
        </is>
      </c>
      <c r="C10" s="4" t="inlineStr"/>
      <c r="D10" s="6" t="inlineStr">
        <is>
          <t>Enunciado, Anexo I</t>
        </is>
      </c>
    </row>
    <row r="11">
      <c r="A11" s="4" t="inlineStr">
        <is>
          <t>Cota calzada</t>
        </is>
      </c>
      <c r="B11" s="5" t="n">
        <v>0</v>
      </c>
      <c r="C11" s="4" t="inlineStr">
        <is>
          <t>m</t>
        </is>
      </c>
      <c r="D11" s="6" t="inlineStr">
        <is>
          <t>Plano esquema vertical</t>
        </is>
      </c>
    </row>
    <row r="12">
      <c r="A12" s="4" t="inlineStr">
        <is>
          <t>Cota solera PB</t>
        </is>
      </c>
      <c r="B12" s="5" t="n">
        <v>0.3</v>
      </c>
      <c r="C12" s="4" t="inlineStr">
        <is>
          <t>m</t>
        </is>
      </c>
      <c r="D12" s="6" t="inlineStr">
        <is>
          <t>Enunciado cond. 6</t>
        </is>
      </c>
    </row>
    <row r="13">
      <c r="A13" s="4" t="inlineStr">
        <is>
          <t>Altura PB (solera PB a solera P1)</t>
        </is>
      </c>
      <c r="B13" s="5" t="n">
        <v>4.1</v>
      </c>
      <c r="C13" s="4" t="inlineStr">
        <is>
          <t>m</t>
        </is>
      </c>
      <c r="D13" s="6" t="inlineStr">
        <is>
          <t>Enunciado cond. 6</t>
        </is>
      </c>
    </row>
    <row r="14">
      <c r="A14" s="4" t="inlineStr">
        <is>
          <t>Altura planta tipo (solera a solera)</t>
        </is>
      </c>
      <c r="B14" s="5" t="n">
        <v>3.3</v>
      </c>
      <c r="C14" s="4" t="inlineStr">
        <is>
          <t>m</t>
        </is>
      </c>
      <c r="D14" s="6" t="inlineStr">
        <is>
          <t>Enunciado cond. 6</t>
        </is>
      </c>
    </row>
    <row r="15">
      <c r="A15" s="4" t="inlineStr">
        <is>
          <t>Altura conexión aparatos sobre solera</t>
        </is>
      </c>
      <c r="B15" s="5" t="n">
        <v>0.6</v>
      </c>
      <c r="C15" s="4" t="inlineStr">
        <is>
          <t>m</t>
        </is>
      </c>
      <c r="D15" s="6" t="inlineStr">
        <is>
          <t>Enunciado cond. 32</t>
        </is>
      </c>
    </row>
    <row r="16">
      <c r="A16" s="4" t="inlineStr">
        <is>
          <t>Cota solera sótano</t>
        </is>
      </c>
      <c r="B16" s="7" t="n">
        <v>-3</v>
      </c>
      <c r="C16" s="4" t="inlineStr">
        <is>
          <t>m</t>
        </is>
      </c>
      <c r="D16" s="6" t="inlineStr">
        <is>
          <t>HIPÓTESIS: no acotada en el DWG; medir en sección</t>
        </is>
      </c>
    </row>
    <row r="17">
      <c r="A17" s="4" t="inlineStr">
        <is>
          <t>Mayoración longitudes (f L-eq)</t>
        </is>
      </c>
      <c r="B17" s="5" t="n">
        <v>1.3</v>
      </c>
      <c r="C17" s="4" t="inlineStr"/>
      <c r="D17" s="6" t="inlineStr">
        <is>
          <t>Enunciado cond. 33</t>
        </is>
      </c>
    </row>
    <row r="18">
      <c r="A18" s="4" t="inlineStr">
        <is>
          <t>Presión mínima en grifo</t>
        </is>
      </c>
      <c r="B18" s="5" t="n">
        <v>10</v>
      </c>
      <c r="C18" s="4" t="inlineStr">
        <is>
          <t>mca</t>
        </is>
      </c>
      <c r="D18" s="6" t="inlineStr">
        <is>
          <t>CTE DB-HS4 2.1.3</t>
        </is>
      </c>
    </row>
    <row r="19">
      <c r="A19" s="4" t="inlineStr">
        <is>
          <t>Presión máxima en grifo</t>
        </is>
      </c>
      <c r="B19" s="5" t="n">
        <v>50</v>
      </c>
      <c r="C19" s="4" t="inlineStr">
        <is>
          <t>mca</t>
        </is>
      </c>
      <c r="D19" s="6" t="inlineStr">
        <is>
          <t>CTE DB-HS4 2.1.3</t>
        </is>
      </c>
    </row>
    <row r="20">
      <c r="A20" s="4" t="inlineStr">
        <is>
          <t>Diferencial calderín (BVF) Δp</t>
        </is>
      </c>
      <c r="B20" s="5" t="n">
        <v>20</v>
      </c>
      <c r="C20" s="4" t="inlineStr">
        <is>
          <t>mca</t>
        </is>
      </c>
      <c r="D20" s="6" t="inlineStr">
        <is>
          <t>Procedimiento diseño UPV</t>
        </is>
      </c>
    </row>
    <row r="23">
      <c r="A23" s="8" t="inlineStr">
        <is>
          <t>Simultaneidad UNE 149201 · Hoteles, discotecas, museos:  Qc = A·Qt^B + C  (l/s)</t>
        </is>
      </c>
    </row>
    <row r="24">
      <c r="A24" s="3" t="inlineStr">
        <is>
          <t>Rango</t>
        </is>
      </c>
      <c r="B24" s="3" t="inlineStr">
        <is>
          <t>A</t>
        </is>
      </c>
      <c r="C24" s="3" t="inlineStr">
        <is>
          <t>B</t>
        </is>
      </c>
      <c r="D24" s="3" t="inlineStr">
        <is>
          <t>C</t>
        </is>
      </c>
    </row>
    <row r="25">
      <c r="A25" t="inlineStr">
        <is>
          <t>Qt ≤ 20 l/s</t>
        </is>
      </c>
      <c r="B25" s="7" t="n">
        <v>0.698</v>
      </c>
      <c r="C25" s="7" t="n">
        <v>0.5</v>
      </c>
      <c r="D25" s="7" t="n">
        <v>-0.12</v>
      </c>
    </row>
    <row r="26">
      <c r="A26" t="inlineStr">
        <is>
          <t>Qt &gt; 20 l/s</t>
        </is>
      </c>
      <c r="B26" s="7" t="n">
        <v>1</v>
      </c>
      <c r="C26" s="7" t="n">
        <v>0.366</v>
      </c>
      <c r="D26" s="7" t="n">
        <v>0</v>
      </c>
    </row>
    <row r="29">
      <c r="A29" s="8" t="inlineStr">
        <is>
          <t>Caudales instantáneos mínimos · CTE DB-HS4 Tabla 2.1</t>
        </is>
      </c>
    </row>
    <row r="30">
      <c r="A30" s="3" t="inlineStr">
        <is>
          <t>Aparato</t>
        </is>
      </c>
      <c r="B30" s="3" t="inlineStr">
        <is>
          <t>Q AF (l/s)</t>
        </is>
      </c>
      <c r="C30" s="3" t="inlineStr">
        <is>
          <t>Q ACS (l/s)</t>
        </is>
      </c>
      <c r="D30" s="3" t="inlineStr">
        <is>
          <t>Nota</t>
        </is>
      </c>
    </row>
    <row r="31">
      <c r="A31" s="4" t="inlineStr">
        <is>
          <t>Lavabo</t>
        </is>
      </c>
      <c r="B31" s="9" t="n">
        <v>0.1</v>
      </c>
      <c r="C31" s="9" t="n">
        <v>0.065</v>
      </c>
      <c r="D31" s="6" t="inlineStr"/>
    </row>
    <row r="32">
      <c r="A32" s="4" t="inlineStr">
        <is>
          <t>Ducha</t>
        </is>
      </c>
      <c r="B32" s="9" t="n">
        <v>0.2</v>
      </c>
      <c r="C32" s="9" t="n">
        <v>0.1</v>
      </c>
      <c r="D32" s="6" t="inlineStr"/>
    </row>
    <row r="33">
      <c r="A33" s="4" t="inlineStr">
        <is>
          <t>Bañera ≥ 1,40 m</t>
        </is>
      </c>
      <c r="B33" s="9" t="n">
        <v>0.3</v>
      </c>
      <c r="C33" s="9" t="n">
        <v>0.2</v>
      </c>
      <c r="D33" s="6" t="inlineStr">
        <is>
          <t>Bañeras del hotel ≈1,70 m (medido en DWG)</t>
        </is>
      </c>
    </row>
    <row r="34">
      <c r="A34" s="4" t="inlineStr">
        <is>
          <t>Bidé</t>
        </is>
      </c>
      <c r="B34" s="9" t="n">
        <v>0.1</v>
      </c>
      <c r="C34" s="9" t="n">
        <v>0.065</v>
      </c>
      <c r="D34" s="6" t="inlineStr"/>
    </row>
    <row r="35">
      <c r="A35" s="4" t="inlineStr">
        <is>
          <t>Inodoro con cisterna</t>
        </is>
      </c>
      <c r="B35" s="9" t="n">
        <v>0.1</v>
      </c>
      <c r="C35" s="9" t="n">
        <v>0</v>
      </c>
      <c r="D35" s="6" t="inlineStr"/>
    </row>
    <row r="36">
      <c r="A36" s="4" t="inlineStr">
        <is>
          <t>Urinario con cisterna</t>
        </is>
      </c>
      <c r="B36" s="9" t="n">
        <v>0.04</v>
      </c>
      <c r="C36" s="9" t="n">
        <v>0</v>
      </c>
      <c r="D36" s="6" t="inlineStr"/>
    </row>
    <row r="37">
      <c r="A37" s="4" t="inlineStr">
        <is>
          <t>Fregadero no doméstico</t>
        </is>
      </c>
      <c r="B37" s="9" t="n">
        <v>0.3</v>
      </c>
      <c r="C37" s="9" t="n">
        <v>0.2</v>
      </c>
      <c r="D37" s="6" t="inlineStr"/>
    </row>
    <row r="38">
      <c r="A38" s="4" t="inlineStr">
        <is>
          <t>Lavavajillas industrial (20 serv.)</t>
        </is>
      </c>
      <c r="B38" s="9" t="n">
        <v>0.25</v>
      </c>
      <c r="C38" s="9" t="n">
        <v>0.2</v>
      </c>
      <c r="D38" s="6" t="inlineStr">
        <is>
          <t>Bitérmico (enunciado cond. 15)</t>
        </is>
      </c>
    </row>
    <row r="39">
      <c r="A39" s="4" t="inlineStr">
        <is>
          <t>Vertedero</t>
        </is>
      </c>
      <c r="B39" s="9" t="n">
        <v>0.2</v>
      </c>
      <c r="C39" s="9" t="n">
        <v>0</v>
      </c>
      <c r="D39" s="6" t="inlineStr"/>
    </row>
    <row r="40">
      <c r="A40" s="4" t="inlineStr">
        <is>
          <t>Grifo garaje / limpieza</t>
        </is>
      </c>
      <c r="B40" s="9" t="n">
        <v>0.2</v>
      </c>
      <c r="C40" s="9" t="n">
        <v>0</v>
      </c>
      <c r="D40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60" customWidth="1" min="15" max="15"/>
  </cols>
  <sheetData>
    <row r="1">
      <c r="A1" s="10" t="inlineStr">
        <is>
          <t>Aparatos por tipo de local (contados sobre el DWG HOTEL_Trabajo_2026-27)</t>
        </is>
      </c>
    </row>
    <row r="3" ht="45" customHeight="1">
      <c r="A3" s="3" t="inlineStr">
        <is>
          <t>Local</t>
        </is>
      </c>
      <c r="B3" s="3" t="inlineStr">
        <is>
          <t>Lavabo</t>
        </is>
      </c>
      <c r="C3" s="3" t="inlineStr">
        <is>
          <t>Ducha</t>
        </is>
      </c>
      <c r="D3" s="3" t="inlineStr">
        <is>
          <t>Bañera ≥ 1,40 m</t>
        </is>
      </c>
      <c r="E3" s="3" t="inlineStr">
        <is>
          <t>Bidé</t>
        </is>
      </c>
      <c r="F3" s="3" t="inlineStr">
        <is>
          <t>Inodoro con cisterna</t>
        </is>
      </c>
      <c r="G3" s="3" t="inlineStr">
        <is>
          <t>Urinario con cisterna</t>
        </is>
      </c>
      <c r="H3" s="3" t="inlineStr">
        <is>
          <t>Fregadero no doméstico</t>
        </is>
      </c>
      <c r="I3" s="3" t="inlineStr">
        <is>
          <t>Lavavajillas industrial (20 serv.)</t>
        </is>
      </c>
      <c r="J3" s="3" t="inlineStr">
        <is>
          <t>Vertedero</t>
        </is>
      </c>
      <c r="K3" s="3" t="inlineStr">
        <is>
          <t>Grifo garaje / limpieza</t>
        </is>
      </c>
      <c r="L3" s="3" t="inlineStr">
        <is>
          <t>Qt AF (l/s)</t>
        </is>
      </c>
      <c r="M3" s="3" t="inlineStr">
        <is>
          <t>Qt ACS (l/s)</t>
        </is>
      </c>
      <c r="N3" s="3" t="inlineStr">
        <is>
          <t>Qt AF+ACS (l/s)</t>
        </is>
      </c>
      <c r="O3" s="3" t="inlineStr">
        <is>
          <t>Observaciones</t>
        </is>
      </c>
    </row>
    <row r="4">
      <c r="A4" s="4" t="inlineStr">
        <is>
          <t>Habitación estándar</t>
        </is>
      </c>
      <c r="B4" s="5" t="n">
        <v>1</v>
      </c>
      <c r="C4" s="5" t="n">
        <v>0</v>
      </c>
      <c r="D4" s="5" t="n">
        <v>1</v>
      </c>
      <c r="E4" s="5" t="n">
        <v>1</v>
      </c>
      <c r="F4" s="5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11">
        <f>B4*Datos!$B$31+C4*Datos!$B$32+D4*Datos!$B$33+E4*Datos!$B$34+F4*Datos!$B$35+G4*Datos!$B$36+H4*Datos!$B$37+I4*Datos!$B$38+J4*Datos!$B$39+K4*Datos!$B$40</f>
        <v/>
      </c>
      <c r="M4" s="11">
        <f>B4*Datos!$C$31+C4*Datos!$C$32+D4*Datos!$C$33+E4*Datos!$C$34+F4*Datos!$C$35+G4*Datos!$C$36+H4*Datos!$C$37+I4*Datos!$C$38+J4*Datos!$C$39+K4*Datos!$C$40</f>
        <v/>
      </c>
      <c r="N4" s="11">
        <f>L4+M4</f>
        <v/>
      </c>
      <c r="O4" s="6" t="inlineStr">
        <is>
          <t>24 por planta tipo, 5 en PB</t>
        </is>
      </c>
    </row>
    <row r="5">
      <c r="A5" s="4" t="inlineStr">
        <is>
          <t>Habitación adaptada</t>
        </is>
      </c>
      <c r="B5" s="5" t="n">
        <v>1</v>
      </c>
      <c r="C5" s="5" t="n">
        <v>1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11">
        <f>B5*Datos!$B$31+C5*Datos!$B$32+D5*Datos!$B$33+E5*Datos!$B$34+F5*Datos!$B$35+G5*Datos!$B$36+H5*Datos!$B$37+I5*Datos!$B$38+J5*Datos!$B$39+K5*Datos!$B$40</f>
        <v/>
      </c>
      <c r="M5" s="11">
        <f>B5*Datos!$C$31+C5*Datos!$C$32+D5*Datos!$C$33+E5*Datos!$C$34+F5*Datos!$C$35+G5*Datos!$C$36+H5*Datos!$C$37+I5*Datos!$C$38+J5*Datos!$C$39+K5*Datos!$C$40</f>
        <v/>
      </c>
      <c r="N5" s="11">
        <f>L5+M5</f>
        <v/>
      </c>
      <c r="O5" s="6" t="inlineStr">
        <is>
          <t>Ducha a ras de suelo con sumidero. 2 por planta tipo, 2 en PB (004, 006)</t>
        </is>
      </c>
    </row>
    <row r="6">
      <c r="A6" s="4" t="inlineStr">
        <is>
          <t>Oficio de planta (21)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1</v>
      </c>
      <c r="I6" s="5" t="n">
        <v>0</v>
      </c>
      <c r="J6" s="5" t="n">
        <v>1</v>
      </c>
      <c r="K6" s="5" t="n">
        <v>0</v>
      </c>
      <c r="L6" s="11">
        <f>B6*Datos!$B$31+C6*Datos!$B$32+D6*Datos!$B$33+E6*Datos!$B$34+F6*Datos!$B$35+G6*Datos!$B$36+H6*Datos!$B$37+I6*Datos!$B$38+J6*Datos!$B$39+K6*Datos!$B$40</f>
        <v/>
      </c>
      <c r="M6" s="11">
        <f>B6*Datos!$C$31+C6*Datos!$C$32+D6*Datos!$C$33+E6*Datos!$C$34+F6*Datos!$C$35+G6*Datos!$C$36+H6*Datos!$C$37+I6*Datos!$C$38+J6*Datos!$C$39+K6*Datos!$C$40</f>
        <v/>
      </c>
      <c r="N6" s="11">
        <f>L6+M6</f>
        <v/>
      </c>
      <c r="O6" s="6" t="inlineStr">
        <is>
          <t>Leyenda: fregadero + vertedero</t>
        </is>
      </c>
    </row>
    <row r="7">
      <c r="A7" s="4" t="inlineStr">
        <is>
          <t>Aseo público hombres (8)</t>
        </is>
      </c>
      <c r="B7" s="5" t="n">
        <v>2</v>
      </c>
      <c r="C7" s="5" t="n">
        <v>0</v>
      </c>
      <c r="D7" s="5" t="n">
        <v>0</v>
      </c>
      <c r="E7" s="5" t="n">
        <v>0</v>
      </c>
      <c r="F7" s="5" t="n">
        <v>2</v>
      </c>
      <c r="G7" s="5" t="n">
        <v>2</v>
      </c>
      <c r="H7" s="5" t="n">
        <v>0</v>
      </c>
      <c r="I7" s="5" t="n">
        <v>0</v>
      </c>
      <c r="J7" s="5" t="n">
        <v>0</v>
      </c>
      <c r="K7" s="5" t="n">
        <v>0</v>
      </c>
      <c r="L7" s="11">
        <f>B7*Datos!$B$31+C7*Datos!$B$32+D7*Datos!$B$33+E7*Datos!$B$34+F7*Datos!$B$35+G7*Datos!$B$36+H7*Datos!$B$37+I7*Datos!$B$38+J7*Datos!$B$39+K7*Datos!$B$40</f>
        <v/>
      </c>
      <c r="M7" s="11">
        <f>B7*Datos!$C$31+C7*Datos!$C$32+D7*Datos!$C$33+E7*Datos!$C$34+F7*Datos!$C$35+G7*Datos!$C$36+H7*Datos!$C$37+I7*Datos!$C$38+J7*Datos!$C$39+K7*Datos!$C$40</f>
        <v/>
      </c>
      <c r="N7" s="11">
        <f>L7+M7</f>
        <v/>
      </c>
      <c r="O7" s="6" t="inlineStr">
        <is>
          <t>2 urinarios dibujados en el aseo derecho</t>
        </is>
      </c>
    </row>
    <row r="8">
      <c r="A8" s="4" t="inlineStr">
        <is>
          <t>Aseo público mujeres (8)</t>
        </is>
      </c>
      <c r="B8" s="5" t="n">
        <v>2</v>
      </c>
      <c r="C8" s="5" t="n">
        <v>0</v>
      </c>
      <c r="D8" s="5" t="n">
        <v>0</v>
      </c>
      <c r="E8" s="5" t="n">
        <v>0</v>
      </c>
      <c r="F8" s="5" t="n">
        <v>2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11">
        <f>B8*Datos!$B$31+C8*Datos!$B$32+D8*Datos!$B$33+E8*Datos!$B$34+F8*Datos!$B$35+G8*Datos!$B$36+H8*Datos!$B$37+I8*Datos!$B$38+J8*Datos!$B$39+K8*Datos!$B$40</f>
        <v/>
      </c>
      <c r="M8" s="11">
        <f>B8*Datos!$C$31+C8*Datos!$C$32+D8*Datos!$C$33+E8*Datos!$C$34+F8*Datos!$C$35+G8*Datos!$C$36+H8*Datos!$C$37+I8*Datos!$C$38+J8*Datos!$C$39+K8*Datos!$C$40</f>
        <v/>
      </c>
      <c r="N8" s="11">
        <f>L8+M8</f>
        <v/>
      </c>
      <c r="O8" s="6" t="inlineStr"/>
    </row>
    <row r="9">
      <c r="A9" s="4" t="inlineStr">
        <is>
          <t>Vestuario hombres (23)</t>
        </is>
      </c>
      <c r="B9" s="5" t="n">
        <v>2</v>
      </c>
      <c r="C9" s="5" t="n">
        <v>1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11">
        <f>B9*Datos!$B$31+C9*Datos!$B$32+D9*Datos!$B$33+E9*Datos!$B$34+F9*Datos!$B$35+G9*Datos!$B$36+H9*Datos!$B$37+I9*Datos!$B$38+J9*Datos!$B$39+K9*Datos!$B$40</f>
        <v/>
      </c>
      <c r="M9" s="11">
        <f>B9*Datos!$C$31+C9*Datos!$C$32+D9*Datos!$C$33+E9*Datos!$C$34+F9*Datos!$C$35+G9*Datos!$C$36+H9*Datos!$C$37+I9*Datos!$C$38+J9*Datos!$C$39+K9*Datos!$C$40</f>
        <v/>
      </c>
      <c r="N9" s="11">
        <f>L9+M9</f>
        <v/>
      </c>
      <c r="O9" s="6" t="inlineStr">
        <is>
          <t>Leyenda: inodoro + ducha + lavabos</t>
        </is>
      </c>
    </row>
    <row r="10">
      <c r="A10" s="4" t="inlineStr">
        <is>
          <t>Vestuario mujeres (23)</t>
        </is>
      </c>
      <c r="B10" s="5" t="n">
        <v>2</v>
      </c>
      <c r="C10" s="5" t="n">
        <v>1</v>
      </c>
      <c r="D10" s="5" t="n">
        <v>0</v>
      </c>
      <c r="E10" s="5" t="n">
        <v>0</v>
      </c>
      <c r="F10" s="5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11">
        <f>B10*Datos!$B$31+C10*Datos!$B$32+D10*Datos!$B$33+E10*Datos!$B$34+F10*Datos!$B$35+G10*Datos!$B$36+H10*Datos!$B$37+I10*Datos!$B$38+J10*Datos!$B$39+K10*Datos!$B$40</f>
        <v/>
      </c>
      <c r="M10" s="11">
        <f>B10*Datos!$C$31+C10*Datos!$C$32+D10*Datos!$C$33+E10*Datos!$C$34+F10*Datos!$C$35+G10*Datos!$C$36+H10*Datos!$C$37+I10*Datos!$C$38+J10*Datos!$C$39+K10*Datos!$C$40</f>
        <v/>
      </c>
      <c r="N10" s="11">
        <f>L10+M10</f>
        <v/>
      </c>
      <c r="O10" s="6" t="inlineStr"/>
    </row>
    <row r="11">
      <c r="A11" s="4" t="inlineStr">
        <is>
          <t>Barra (4)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0</v>
      </c>
      <c r="L11" s="11">
        <f>B11*Datos!$B$31+C11*Datos!$B$32+D11*Datos!$B$33+E11*Datos!$B$34+F11*Datos!$B$35+G11*Datos!$B$36+H11*Datos!$B$37+I11*Datos!$B$38+J11*Datos!$B$39+K11*Datos!$B$40</f>
        <v/>
      </c>
      <c r="M11" s="11">
        <f>B11*Datos!$C$31+C11*Datos!$C$32+D11*Datos!$C$33+E11*Datos!$C$34+F11*Datos!$C$35+G11*Datos!$C$36+H11*Datos!$C$37+I11*Datos!$C$38+J11*Datos!$C$39+K11*Datos!$C$40</f>
        <v/>
      </c>
      <c r="N11" s="11">
        <f>L11+M11</f>
        <v/>
      </c>
      <c r="O11" s="6" t="inlineStr">
        <is>
          <t>Leyenda: fregadero + lavavajillas</t>
        </is>
      </c>
    </row>
    <row r="12">
      <c r="A12" s="4" t="inlineStr">
        <is>
          <t>Cocina (15)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1</v>
      </c>
      <c r="I12" s="5" t="n">
        <v>2</v>
      </c>
      <c r="J12" s="5" t="n">
        <v>0</v>
      </c>
      <c r="K12" s="5" t="n">
        <v>0</v>
      </c>
      <c r="L12" s="11">
        <f>B12*Datos!$B$31+C12*Datos!$B$32+D12*Datos!$B$33+E12*Datos!$B$34+F12*Datos!$B$35+G12*Datos!$B$36+H12*Datos!$B$37+I12*Datos!$B$38+J12*Datos!$B$39+K12*Datos!$B$40</f>
        <v/>
      </c>
      <c r="M12" s="11">
        <f>B12*Datos!$C$31+C12*Datos!$C$32+D12*Datos!$C$33+E12*Datos!$C$34+F12*Datos!$C$35+G12*Datos!$C$36+H12*Datos!$C$37+I12*Datos!$C$38+J12*Datos!$C$39+K12*Datos!$C$40</f>
        <v/>
      </c>
      <c r="N12" s="11">
        <f>L12+M12</f>
        <v/>
      </c>
      <c r="O12" s="6" t="inlineStr">
        <is>
          <t>Leyenda: 2 lavavajillas + fregadero</t>
        </is>
      </c>
    </row>
    <row r="13">
      <c r="A13" s="4" t="inlineStr">
        <is>
          <t>Cuarto frío (17)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11">
        <f>B13*Datos!$B$31+C13*Datos!$B$32+D13*Datos!$B$33+E13*Datos!$B$34+F13*Datos!$B$35+G13*Datos!$B$36+H13*Datos!$B$37+I13*Datos!$B$38+J13*Datos!$B$39+K13*Datos!$B$40</f>
        <v/>
      </c>
      <c r="M13" s="11">
        <f>B13*Datos!$C$31+C13*Datos!$C$32+D13*Datos!$C$33+E13*Datos!$C$34+F13*Datos!$C$35+G13*Datos!$C$36+H13*Datos!$C$37+I13*Datos!$C$38+J13*Datos!$C$39+K13*Datos!$C$40</f>
        <v/>
      </c>
      <c r="N13" s="11">
        <f>L13+M13</f>
        <v/>
      </c>
      <c r="O13" s="6" t="inlineStr">
        <is>
          <t>Leyenda: fregadero</t>
        </is>
      </c>
    </row>
    <row r="14">
      <c r="A14" s="4" t="inlineStr">
        <is>
          <t>Cuarto de basuras (19)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1</v>
      </c>
      <c r="L14" s="11">
        <f>B14*Datos!$B$31+C14*Datos!$B$32+D14*Datos!$B$33+E14*Datos!$B$34+F14*Datos!$B$35+G14*Datos!$B$36+H14*Datos!$B$37+I14*Datos!$B$38+J14*Datos!$B$39+K14*Datos!$B$40</f>
        <v/>
      </c>
      <c r="M14" s="11">
        <f>B14*Datos!$C$31+C14*Datos!$C$32+D14*Datos!$C$33+E14*Datos!$C$34+F14*Datos!$C$35+G14*Datos!$C$36+H14*Datos!$C$37+I14*Datos!$C$38+J14*Datos!$C$39+K14*Datos!$C$40</f>
        <v/>
      </c>
      <c r="N14" s="11">
        <f>L14+M14</f>
        <v/>
      </c>
      <c r="O14" s="6" t="inlineStr">
        <is>
          <t>HIPÓTESIS: grifo de limpieza (no dibujado)</t>
        </is>
      </c>
    </row>
    <row r="15">
      <c r="A15" s="4" t="inlineStr">
        <is>
          <t>Garaje sótano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</v>
      </c>
      <c r="L15" s="11">
        <f>B15*Datos!$B$31+C15*Datos!$B$32+D15*Datos!$B$33+E15*Datos!$B$34+F15*Datos!$B$35+G15*Datos!$B$36+H15*Datos!$B$37+I15*Datos!$B$38+J15*Datos!$B$39+K15*Datos!$B$40</f>
        <v/>
      </c>
      <c r="M15" s="11">
        <f>B15*Datos!$C$31+C15*Datos!$C$32+D15*Datos!$C$33+E15*Datos!$C$34+F15*Datos!$C$35+G15*Datos!$C$36+H15*Datos!$C$37+I15*Datos!$C$38+J15*Datos!$C$39+K15*Datos!$C$40</f>
        <v/>
      </c>
      <c r="N15" s="11">
        <f>L15+M15</f>
        <v/>
      </c>
      <c r="O15" s="6" t="inlineStr">
        <is>
          <t>HIPÓTESIS: grifo de limpieza (cond. 21: recogida de aguas en sótano)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0" t="inlineStr">
        <is>
          <t>Inventario por planta, caudales y simultaneidad (UNE 149201)</t>
        </is>
      </c>
    </row>
    <row r="3" ht="60" customHeight="1">
      <c r="A3" s="3" t="inlineStr">
        <is>
          <t>Planta</t>
        </is>
      </c>
      <c r="B3" s="3" t="inlineStr">
        <is>
          <t>Nº</t>
        </is>
      </c>
      <c r="C3" s="3" t="inlineStr">
        <is>
          <t>Habitación estándar</t>
        </is>
      </c>
      <c r="D3" s="3" t="inlineStr">
        <is>
          <t>Habitación adaptada</t>
        </is>
      </c>
      <c r="E3" s="3" t="inlineStr">
        <is>
          <t>Oficio de planta (21)</t>
        </is>
      </c>
      <c r="F3" s="3" t="inlineStr">
        <is>
          <t>Aseo público hombres (8)</t>
        </is>
      </c>
      <c r="G3" s="3" t="inlineStr">
        <is>
          <t>Aseo público mujeres (8)</t>
        </is>
      </c>
      <c r="H3" s="3" t="inlineStr">
        <is>
          <t>Vestuario hombres (23)</t>
        </is>
      </c>
      <c r="I3" s="3" t="inlineStr">
        <is>
          <t>Vestuario mujeres (23)</t>
        </is>
      </c>
      <c r="J3" s="3" t="inlineStr">
        <is>
          <t>Barra (4)</t>
        </is>
      </c>
      <c r="K3" s="3" t="inlineStr">
        <is>
          <t>Cocina (15)</t>
        </is>
      </c>
      <c r="L3" s="3" t="inlineStr">
        <is>
          <t>Cuarto frío (17)</t>
        </is>
      </c>
      <c r="M3" s="3" t="inlineStr">
        <is>
          <t>Cuarto de basuras (19)</t>
        </is>
      </c>
      <c r="N3" s="3" t="inlineStr">
        <is>
          <t>Garaje sótano</t>
        </is>
      </c>
      <c r="O3" s="3" t="inlineStr">
        <is>
          <t>Cota solera (m)</t>
        </is>
      </c>
      <c r="P3" s="3" t="inlineStr">
        <is>
          <t>Cota grifo (m)</t>
        </is>
      </c>
      <c r="Q3" s="3" t="inlineStr">
        <is>
          <t>Qt AF (l/s)</t>
        </is>
      </c>
      <c r="R3" s="3" t="inlineStr">
        <is>
          <t>Qt ACS (l/s)</t>
        </is>
      </c>
      <c r="S3" s="3" t="inlineStr">
        <is>
          <t>Qt AF+ACS (l/s)</t>
        </is>
      </c>
      <c r="T3" s="3" t="inlineStr">
        <is>
          <t>Qc AF planta (l/s)</t>
        </is>
      </c>
      <c r="U3" s="3" t="inlineStr">
        <is>
          <t>Qc ACS planta (l/s)</t>
        </is>
      </c>
      <c r="V3" s="3" t="inlineStr">
        <is>
          <t>Qt AF acumulado desde cubierta</t>
        </is>
      </c>
      <c r="W3" s="3" t="inlineStr">
        <is>
          <t>Qc AF acumulado (montante) (l/s)</t>
        </is>
      </c>
    </row>
    <row r="4">
      <c r="A4" s="4" t="inlineStr">
        <is>
          <t>Sótano</t>
        </is>
      </c>
      <c r="B4" s="5" t="n">
        <v>-1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</v>
      </c>
      <c r="O4" s="12">
        <f>Datos!$B$16</f>
        <v/>
      </c>
      <c r="P4" s="13">
        <f>O4+Datos!$B$15</f>
        <v/>
      </c>
      <c r="Q4" s="13">
        <f>C4*Locales!$L$4+D4*Locales!$L$5+E4*Locales!$L$6+F4*Locales!$L$7+G4*Locales!$L$8+H4*Locales!$L$9+I4*Locales!$L$10+J4*Locales!$L$11+K4*Locales!$L$12+L4*Locales!$L$13+M4*Locales!$L$14+N4*Locales!$L$15</f>
        <v/>
      </c>
      <c r="R4" s="13">
        <f>C4*Locales!$M$4+D4*Locales!$M$5+E4*Locales!$M$6+F4*Locales!$M$7+G4*Locales!$M$8+H4*Locales!$M$9+I4*Locales!$M$10+J4*Locales!$M$11+K4*Locales!$M$12+L4*Locales!$M$13+M4*Locales!$M$14+N4*Locales!$M$15</f>
        <v/>
      </c>
      <c r="S4" s="13">
        <f>Q4+R4</f>
        <v/>
      </c>
      <c r="T4" s="13">
        <f>IF(Q4&lt;=0,0,MIN(Q4,IF(Q4&lt;=20,Datos!$B$25*Q4^Datos!$C$25+Datos!$D$25,Datos!$B$26*Q4^Datos!$C$26+Datos!$D$26)))</f>
        <v/>
      </c>
      <c r="U4" s="13">
        <f>IF(R4&lt;=0,0,MIN(R4,IF(R4&lt;=20,Datos!$B$25*R4^Datos!$C$25+Datos!$D$25,Datos!$B$26*R4^Datos!$C$26+Datos!$D$26)))</f>
        <v/>
      </c>
      <c r="V4" s="13">
        <f>SUM(Q4:Q$16)</f>
        <v/>
      </c>
      <c r="W4" s="13">
        <f>IF(V4&lt;=0,0,MIN(V4,IF(V4&lt;=20,Datos!$B$25*V4^Datos!$C$25+Datos!$D$25,Datos!$B$26*V4^Datos!$C$26+Datos!$D$26)))</f>
        <v/>
      </c>
    </row>
    <row r="5">
      <c r="A5" s="4" t="inlineStr">
        <is>
          <t>Planta baja</t>
        </is>
      </c>
      <c r="B5" s="5" t="n">
        <v>0</v>
      </c>
      <c r="C5" s="5" t="n">
        <v>5</v>
      </c>
      <c r="D5" s="5" t="n">
        <v>2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0</v>
      </c>
      <c r="O5" s="12">
        <f>Datos!$B$12</f>
        <v/>
      </c>
      <c r="P5" s="13">
        <f>O5+Datos!$B$15</f>
        <v/>
      </c>
      <c r="Q5" s="13">
        <f>C5*Locales!$L$4+D5*Locales!$L$5+E5*Locales!$L$6+F5*Locales!$L$7+G5*Locales!$L$8+H5*Locales!$L$9+I5*Locales!$L$10+J5*Locales!$L$11+K5*Locales!$L$12+L5*Locales!$L$13+M5*Locales!$L$14+N5*Locales!$L$15</f>
        <v/>
      </c>
      <c r="R5" s="13">
        <f>C5*Locales!$M$4+D5*Locales!$M$5+E5*Locales!$M$6+F5*Locales!$M$7+G5*Locales!$M$8+H5*Locales!$M$9+I5*Locales!$M$10+J5*Locales!$M$11+K5*Locales!$M$12+L5*Locales!$M$13+M5*Locales!$M$14+N5*Locales!$M$15</f>
        <v/>
      </c>
      <c r="S5" s="13">
        <f>Q5+R5</f>
        <v/>
      </c>
      <c r="T5" s="13">
        <f>IF(Q5&lt;=0,0,MIN(Q5,IF(Q5&lt;=20,Datos!$B$25*Q5^Datos!$C$25+Datos!$D$25,Datos!$B$26*Q5^Datos!$C$26+Datos!$D$26)))</f>
        <v/>
      </c>
      <c r="U5" s="13">
        <f>IF(R5&lt;=0,0,MIN(R5,IF(R5&lt;=20,Datos!$B$25*R5^Datos!$C$25+Datos!$D$25,Datos!$B$26*R5^Datos!$C$26+Datos!$D$26)))</f>
        <v/>
      </c>
      <c r="V5" s="13">
        <f>SUM(Q5:Q$16)</f>
        <v/>
      </c>
      <c r="W5" s="13">
        <f>IF(V5&lt;=0,0,MIN(V5,IF(V5&lt;=20,Datos!$B$25*V5^Datos!$C$25+Datos!$D$25,Datos!$B$26*V5^Datos!$C$26+Datos!$D$26)))</f>
        <v/>
      </c>
    </row>
    <row r="6">
      <c r="A6" s="4" t="inlineStr">
        <is>
          <t>Planta 1</t>
        </is>
      </c>
      <c r="B6" s="5" t="n">
        <v>1</v>
      </c>
      <c r="C6" s="5" t="n">
        <v>24</v>
      </c>
      <c r="D6" s="5" t="n">
        <v>2</v>
      </c>
      <c r="E6" s="5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13">
        <f>Datos!$B$12+Datos!$B$13+(B6-1)*Datos!$B$14</f>
        <v/>
      </c>
      <c r="P6" s="13">
        <f>O6+Datos!$B$15</f>
        <v/>
      </c>
      <c r="Q6" s="13">
        <f>C6*Locales!$L$4+D6*Locales!$L$5+E6*Locales!$L$6+F6*Locales!$L$7+G6*Locales!$L$8+H6*Locales!$L$9+I6*Locales!$L$10+J6*Locales!$L$11+K6*Locales!$L$12+L6*Locales!$L$13+M6*Locales!$L$14+N6*Locales!$L$15</f>
        <v/>
      </c>
      <c r="R6" s="13">
        <f>C6*Locales!$M$4+D6*Locales!$M$5+E6*Locales!$M$6+F6*Locales!$M$7+G6*Locales!$M$8+H6*Locales!$M$9+I6*Locales!$M$10+J6*Locales!$M$11+K6*Locales!$M$12+L6*Locales!$M$13+M6*Locales!$M$14+N6*Locales!$M$15</f>
        <v/>
      </c>
      <c r="S6" s="13">
        <f>Q6+R6</f>
        <v/>
      </c>
      <c r="T6" s="13">
        <f>IF(Q6&lt;=0,0,MIN(Q6,IF(Q6&lt;=20,Datos!$B$25*Q6^Datos!$C$25+Datos!$D$25,Datos!$B$26*Q6^Datos!$C$26+Datos!$D$26)))</f>
        <v/>
      </c>
      <c r="U6" s="13">
        <f>IF(R6&lt;=0,0,MIN(R6,IF(R6&lt;=20,Datos!$B$25*R6^Datos!$C$25+Datos!$D$25,Datos!$B$26*R6^Datos!$C$26+Datos!$D$26)))</f>
        <v/>
      </c>
      <c r="V6" s="13">
        <f>SUM(Q6:Q$16)</f>
        <v/>
      </c>
      <c r="W6" s="13">
        <f>IF(V6&lt;=0,0,MIN(V6,IF(V6&lt;=20,Datos!$B$25*V6^Datos!$C$25+Datos!$D$25,Datos!$B$26*V6^Datos!$C$26+Datos!$D$26)))</f>
        <v/>
      </c>
    </row>
    <row r="7">
      <c r="A7" s="4" t="inlineStr">
        <is>
          <t>Planta 2</t>
        </is>
      </c>
      <c r="B7" s="5" t="n">
        <v>2</v>
      </c>
      <c r="C7" s="5" t="n">
        <v>24</v>
      </c>
      <c r="D7" s="5" t="n">
        <v>2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13">
        <f>Datos!$B$12+Datos!$B$13+(B7-1)*Datos!$B$14</f>
        <v/>
      </c>
      <c r="P7" s="13">
        <f>O7+Datos!$B$15</f>
        <v/>
      </c>
      <c r="Q7" s="13">
        <f>C7*Locales!$L$4+D7*Locales!$L$5+E7*Locales!$L$6+F7*Locales!$L$7+G7*Locales!$L$8+H7*Locales!$L$9+I7*Locales!$L$10+J7*Locales!$L$11+K7*Locales!$L$12+L7*Locales!$L$13+M7*Locales!$L$14+N7*Locales!$L$15</f>
        <v/>
      </c>
      <c r="R7" s="13">
        <f>C7*Locales!$M$4+D7*Locales!$M$5+E7*Locales!$M$6+F7*Locales!$M$7+G7*Locales!$M$8+H7*Locales!$M$9+I7*Locales!$M$10+J7*Locales!$M$11+K7*Locales!$M$12+L7*Locales!$M$13+M7*Locales!$M$14+N7*Locales!$M$15</f>
        <v/>
      </c>
      <c r="S7" s="13">
        <f>Q7+R7</f>
        <v/>
      </c>
      <c r="T7" s="13">
        <f>IF(Q7&lt;=0,0,MIN(Q7,IF(Q7&lt;=20,Datos!$B$25*Q7^Datos!$C$25+Datos!$D$25,Datos!$B$26*Q7^Datos!$C$26+Datos!$D$26)))</f>
        <v/>
      </c>
      <c r="U7" s="13">
        <f>IF(R7&lt;=0,0,MIN(R7,IF(R7&lt;=20,Datos!$B$25*R7^Datos!$C$25+Datos!$D$25,Datos!$B$26*R7^Datos!$C$26+Datos!$D$26)))</f>
        <v/>
      </c>
      <c r="V7" s="13">
        <f>SUM(Q7:Q$16)</f>
        <v/>
      </c>
      <c r="W7" s="13">
        <f>IF(V7&lt;=0,0,MIN(V7,IF(V7&lt;=20,Datos!$B$25*V7^Datos!$C$25+Datos!$D$25,Datos!$B$26*V7^Datos!$C$26+Datos!$D$26)))</f>
        <v/>
      </c>
    </row>
    <row r="8">
      <c r="A8" s="4" t="inlineStr">
        <is>
          <t>Planta 3</t>
        </is>
      </c>
      <c r="B8" s="5" t="n">
        <v>3</v>
      </c>
      <c r="C8" s="5" t="n">
        <v>24</v>
      </c>
      <c r="D8" s="5" t="n">
        <v>2</v>
      </c>
      <c r="E8" s="5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13">
        <f>Datos!$B$12+Datos!$B$13+(B8-1)*Datos!$B$14</f>
        <v/>
      </c>
      <c r="P8" s="13">
        <f>O8+Datos!$B$15</f>
        <v/>
      </c>
      <c r="Q8" s="13">
        <f>C8*Locales!$L$4+D8*Locales!$L$5+E8*Locales!$L$6+F8*Locales!$L$7+G8*Locales!$L$8+H8*Locales!$L$9+I8*Locales!$L$10+J8*Locales!$L$11+K8*Locales!$L$12+L8*Locales!$L$13+M8*Locales!$L$14+N8*Locales!$L$15</f>
        <v/>
      </c>
      <c r="R8" s="13">
        <f>C8*Locales!$M$4+D8*Locales!$M$5+E8*Locales!$M$6+F8*Locales!$M$7+G8*Locales!$M$8+H8*Locales!$M$9+I8*Locales!$M$10+J8*Locales!$M$11+K8*Locales!$M$12+L8*Locales!$M$13+M8*Locales!$M$14+N8*Locales!$M$15</f>
        <v/>
      </c>
      <c r="S8" s="13">
        <f>Q8+R8</f>
        <v/>
      </c>
      <c r="T8" s="13">
        <f>IF(Q8&lt;=0,0,MIN(Q8,IF(Q8&lt;=20,Datos!$B$25*Q8^Datos!$C$25+Datos!$D$25,Datos!$B$26*Q8^Datos!$C$26+Datos!$D$26)))</f>
        <v/>
      </c>
      <c r="U8" s="13">
        <f>IF(R8&lt;=0,0,MIN(R8,IF(R8&lt;=20,Datos!$B$25*R8^Datos!$C$25+Datos!$D$25,Datos!$B$26*R8^Datos!$C$26+Datos!$D$26)))</f>
        <v/>
      </c>
      <c r="V8" s="13">
        <f>SUM(Q8:Q$16)</f>
        <v/>
      </c>
      <c r="W8" s="13">
        <f>IF(V8&lt;=0,0,MIN(V8,IF(V8&lt;=20,Datos!$B$25*V8^Datos!$C$25+Datos!$D$25,Datos!$B$26*V8^Datos!$C$26+Datos!$D$26)))</f>
        <v/>
      </c>
    </row>
    <row r="9">
      <c r="A9" s="4" t="inlineStr">
        <is>
          <t>Planta 4</t>
        </is>
      </c>
      <c r="B9" s="5" t="n">
        <v>4</v>
      </c>
      <c r="C9" s="5" t="n">
        <v>24</v>
      </c>
      <c r="D9" s="5" t="n">
        <v>2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13">
        <f>Datos!$B$12+Datos!$B$13+(B9-1)*Datos!$B$14</f>
        <v/>
      </c>
      <c r="P9" s="13">
        <f>O9+Datos!$B$15</f>
        <v/>
      </c>
      <c r="Q9" s="13">
        <f>C9*Locales!$L$4+D9*Locales!$L$5+E9*Locales!$L$6+F9*Locales!$L$7+G9*Locales!$L$8+H9*Locales!$L$9+I9*Locales!$L$10+J9*Locales!$L$11+K9*Locales!$L$12+L9*Locales!$L$13+M9*Locales!$L$14+N9*Locales!$L$15</f>
        <v/>
      </c>
      <c r="R9" s="13">
        <f>C9*Locales!$M$4+D9*Locales!$M$5+E9*Locales!$M$6+F9*Locales!$M$7+G9*Locales!$M$8+H9*Locales!$M$9+I9*Locales!$M$10+J9*Locales!$M$11+K9*Locales!$M$12+L9*Locales!$M$13+M9*Locales!$M$14+N9*Locales!$M$15</f>
        <v/>
      </c>
      <c r="S9" s="13">
        <f>Q9+R9</f>
        <v/>
      </c>
      <c r="T9" s="13">
        <f>IF(Q9&lt;=0,0,MIN(Q9,IF(Q9&lt;=20,Datos!$B$25*Q9^Datos!$C$25+Datos!$D$25,Datos!$B$26*Q9^Datos!$C$26+Datos!$D$26)))</f>
        <v/>
      </c>
      <c r="U9" s="13">
        <f>IF(R9&lt;=0,0,MIN(R9,IF(R9&lt;=20,Datos!$B$25*R9^Datos!$C$25+Datos!$D$25,Datos!$B$26*R9^Datos!$C$26+Datos!$D$26)))</f>
        <v/>
      </c>
      <c r="V9" s="13">
        <f>SUM(Q9:Q$16)</f>
        <v/>
      </c>
      <c r="W9" s="13">
        <f>IF(V9&lt;=0,0,MIN(V9,IF(V9&lt;=20,Datos!$B$25*V9^Datos!$C$25+Datos!$D$25,Datos!$B$26*V9^Datos!$C$26+Datos!$D$26)))</f>
        <v/>
      </c>
    </row>
    <row r="10">
      <c r="A10" s="4" t="inlineStr">
        <is>
          <t>Planta 5</t>
        </is>
      </c>
      <c r="B10" s="5" t="n">
        <v>5</v>
      </c>
      <c r="C10" s="5" t="n">
        <v>24</v>
      </c>
      <c r="D10" s="5" t="n">
        <v>2</v>
      </c>
      <c r="E10" s="5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13">
        <f>Datos!$B$12+Datos!$B$13+(B10-1)*Datos!$B$14</f>
        <v/>
      </c>
      <c r="P10" s="13">
        <f>O10+Datos!$B$15</f>
        <v/>
      </c>
      <c r="Q10" s="13">
        <f>C10*Locales!$L$4+D10*Locales!$L$5+E10*Locales!$L$6+F10*Locales!$L$7+G10*Locales!$L$8+H10*Locales!$L$9+I10*Locales!$L$10+J10*Locales!$L$11+K10*Locales!$L$12+L10*Locales!$L$13+M10*Locales!$L$14+N10*Locales!$L$15</f>
        <v/>
      </c>
      <c r="R10" s="13">
        <f>C10*Locales!$M$4+D10*Locales!$M$5+E10*Locales!$M$6+F10*Locales!$M$7+G10*Locales!$M$8+H10*Locales!$M$9+I10*Locales!$M$10+J10*Locales!$M$11+K10*Locales!$M$12+L10*Locales!$M$13+M10*Locales!$M$14+N10*Locales!$M$15</f>
        <v/>
      </c>
      <c r="S10" s="13">
        <f>Q10+R10</f>
        <v/>
      </c>
      <c r="T10" s="13">
        <f>IF(Q10&lt;=0,0,MIN(Q10,IF(Q10&lt;=20,Datos!$B$25*Q10^Datos!$C$25+Datos!$D$25,Datos!$B$26*Q10^Datos!$C$26+Datos!$D$26)))</f>
        <v/>
      </c>
      <c r="U10" s="13">
        <f>IF(R10&lt;=0,0,MIN(R10,IF(R10&lt;=20,Datos!$B$25*R10^Datos!$C$25+Datos!$D$25,Datos!$B$26*R10^Datos!$C$26+Datos!$D$26)))</f>
        <v/>
      </c>
      <c r="V10" s="13">
        <f>SUM(Q10:Q$16)</f>
        <v/>
      </c>
      <c r="W10" s="13">
        <f>IF(V10&lt;=0,0,MIN(V10,IF(V10&lt;=20,Datos!$B$25*V10^Datos!$C$25+Datos!$D$25,Datos!$B$26*V10^Datos!$C$26+Datos!$D$26)))</f>
        <v/>
      </c>
    </row>
    <row r="11">
      <c r="A11" s="4" t="inlineStr">
        <is>
          <t>Planta 6</t>
        </is>
      </c>
      <c r="B11" s="5" t="n">
        <v>6</v>
      </c>
      <c r="C11" s="5" t="n">
        <v>24</v>
      </c>
      <c r="D11" s="5" t="n">
        <v>2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13">
        <f>Datos!$B$12+Datos!$B$13+(B11-1)*Datos!$B$14</f>
        <v/>
      </c>
      <c r="P11" s="13">
        <f>O11+Datos!$B$15</f>
        <v/>
      </c>
      <c r="Q11" s="13">
        <f>C11*Locales!$L$4+D11*Locales!$L$5+E11*Locales!$L$6+F11*Locales!$L$7+G11*Locales!$L$8+H11*Locales!$L$9+I11*Locales!$L$10+J11*Locales!$L$11+K11*Locales!$L$12+L11*Locales!$L$13+M11*Locales!$L$14+N11*Locales!$L$15</f>
        <v/>
      </c>
      <c r="R11" s="13">
        <f>C11*Locales!$M$4+D11*Locales!$M$5+E11*Locales!$M$6+F11*Locales!$M$7+G11*Locales!$M$8+H11*Locales!$M$9+I11*Locales!$M$10+J11*Locales!$M$11+K11*Locales!$M$12+L11*Locales!$M$13+M11*Locales!$M$14+N11*Locales!$M$15</f>
        <v/>
      </c>
      <c r="S11" s="13">
        <f>Q11+R11</f>
        <v/>
      </c>
      <c r="T11" s="13">
        <f>IF(Q11&lt;=0,0,MIN(Q11,IF(Q11&lt;=20,Datos!$B$25*Q11^Datos!$C$25+Datos!$D$25,Datos!$B$26*Q11^Datos!$C$26+Datos!$D$26)))</f>
        <v/>
      </c>
      <c r="U11" s="13">
        <f>IF(R11&lt;=0,0,MIN(R11,IF(R11&lt;=20,Datos!$B$25*R11^Datos!$C$25+Datos!$D$25,Datos!$B$26*R11^Datos!$C$26+Datos!$D$26)))</f>
        <v/>
      </c>
      <c r="V11" s="13">
        <f>SUM(Q11:Q$16)</f>
        <v/>
      </c>
      <c r="W11" s="13">
        <f>IF(V11&lt;=0,0,MIN(V11,IF(V11&lt;=20,Datos!$B$25*V11^Datos!$C$25+Datos!$D$25,Datos!$B$26*V11^Datos!$C$26+Datos!$D$26)))</f>
        <v/>
      </c>
    </row>
    <row r="12">
      <c r="A12" s="4" t="inlineStr">
        <is>
          <t>Planta 7</t>
        </is>
      </c>
      <c r="B12" s="5" t="n">
        <v>7</v>
      </c>
      <c r="C12" s="5" t="n">
        <v>24</v>
      </c>
      <c r="D12" s="5" t="n">
        <v>2</v>
      </c>
      <c r="E12" s="5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13">
        <f>Datos!$B$12+Datos!$B$13+(B12-1)*Datos!$B$14</f>
        <v/>
      </c>
      <c r="P12" s="13">
        <f>O12+Datos!$B$15</f>
        <v/>
      </c>
      <c r="Q12" s="13">
        <f>C12*Locales!$L$4+D12*Locales!$L$5+E12*Locales!$L$6+F12*Locales!$L$7+G12*Locales!$L$8+H12*Locales!$L$9+I12*Locales!$L$10+J12*Locales!$L$11+K12*Locales!$L$12+L12*Locales!$L$13+M12*Locales!$L$14+N12*Locales!$L$15</f>
        <v/>
      </c>
      <c r="R12" s="13">
        <f>C12*Locales!$M$4+D12*Locales!$M$5+E12*Locales!$M$6+F12*Locales!$M$7+G12*Locales!$M$8+H12*Locales!$M$9+I12*Locales!$M$10+J12*Locales!$M$11+K12*Locales!$M$12+L12*Locales!$M$13+M12*Locales!$M$14+N12*Locales!$M$15</f>
        <v/>
      </c>
      <c r="S12" s="13">
        <f>Q12+R12</f>
        <v/>
      </c>
      <c r="T12" s="13">
        <f>IF(Q12&lt;=0,0,MIN(Q12,IF(Q12&lt;=20,Datos!$B$25*Q12^Datos!$C$25+Datos!$D$25,Datos!$B$26*Q12^Datos!$C$26+Datos!$D$26)))</f>
        <v/>
      </c>
      <c r="U12" s="13">
        <f>IF(R12&lt;=0,0,MIN(R12,IF(R12&lt;=20,Datos!$B$25*R12^Datos!$C$25+Datos!$D$25,Datos!$B$26*R12^Datos!$C$26+Datos!$D$26)))</f>
        <v/>
      </c>
      <c r="V12" s="13">
        <f>SUM(Q12:Q$16)</f>
        <v/>
      </c>
      <c r="W12" s="13">
        <f>IF(V12&lt;=0,0,MIN(V12,IF(V12&lt;=20,Datos!$B$25*V12^Datos!$C$25+Datos!$D$25,Datos!$B$26*V12^Datos!$C$26+Datos!$D$26)))</f>
        <v/>
      </c>
    </row>
    <row r="13">
      <c r="A13" s="4" t="inlineStr">
        <is>
          <t>Planta 8</t>
        </is>
      </c>
      <c r="B13" s="5" t="n">
        <v>8</v>
      </c>
      <c r="C13" s="5" t="n">
        <v>24</v>
      </c>
      <c r="D13" s="5" t="n">
        <v>2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13">
        <f>Datos!$B$12+Datos!$B$13+(B13-1)*Datos!$B$14</f>
        <v/>
      </c>
      <c r="P13" s="13">
        <f>O13+Datos!$B$15</f>
        <v/>
      </c>
      <c r="Q13" s="13">
        <f>C13*Locales!$L$4+D13*Locales!$L$5+E13*Locales!$L$6+F13*Locales!$L$7+G13*Locales!$L$8+H13*Locales!$L$9+I13*Locales!$L$10+J13*Locales!$L$11+K13*Locales!$L$12+L13*Locales!$L$13+M13*Locales!$L$14+N13*Locales!$L$15</f>
        <v/>
      </c>
      <c r="R13" s="13">
        <f>C13*Locales!$M$4+D13*Locales!$M$5+E13*Locales!$M$6+F13*Locales!$M$7+G13*Locales!$M$8+H13*Locales!$M$9+I13*Locales!$M$10+J13*Locales!$M$11+K13*Locales!$M$12+L13*Locales!$M$13+M13*Locales!$M$14+N13*Locales!$M$15</f>
        <v/>
      </c>
      <c r="S13" s="13">
        <f>Q13+R13</f>
        <v/>
      </c>
      <c r="T13" s="13">
        <f>IF(Q13&lt;=0,0,MIN(Q13,IF(Q13&lt;=20,Datos!$B$25*Q13^Datos!$C$25+Datos!$D$25,Datos!$B$26*Q13^Datos!$C$26+Datos!$D$26)))</f>
        <v/>
      </c>
      <c r="U13" s="13">
        <f>IF(R13&lt;=0,0,MIN(R13,IF(R13&lt;=20,Datos!$B$25*R13^Datos!$C$25+Datos!$D$25,Datos!$B$26*R13^Datos!$C$26+Datos!$D$26)))</f>
        <v/>
      </c>
      <c r="V13" s="13">
        <f>SUM(Q13:Q$16)</f>
        <v/>
      </c>
      <c r="W13" s="13">
        <f>IF(V13&lt;=0,0,MIN(V13,IF(V13&lt;=20,Datos!$B$25*V13^Datos!$C$25+Datos!$D$25,Datos!$B$26*V13^Datos!$C$26+Datos!$D$26)))</f>
        <v/>
      </c>
    </row>
    <row r="14">
      <c r="A14" s="4" t="inlineStr">
        <is>
          <t>Planta 9</t>
        </is>
      </c>
      <c r="B14" s="5" t="n">
        <v>9</v>
      </c>
      <c r="C14" s="5" t="n">
        <v>24</v>
      </c>
      <c r="D14" s="5" t="n">
        <v>2</v>
      </c>
      <c r="E14" s="5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13">
        <f>Datos!$B$12+Datos!$B$13+(B14-1)*Datos!$B$14</f>
        <v/>
      </c>
      <c r="P14" s="13">
        <f>O14+Datos!$B$15</f>
        <v/>
      </c>
      <c r="Q14" s="13">
        <f>C14*Locales!$L$4+D14*Locales!$L$5+E14*Locales!$L$6+F14*Locales!$L$7+G14*Locales!$L$8+H14*Locales!$L$9+I14*Locales!$L$10+J14*Locales!$L$11+K14*Locales!$L$12+L14*Locales!$L$13+M14*Locales!$L$14+N14*Locales!$L$15</f>
        <v/>
      </c>
      <c r="R14" s="13">
        <f>C14*Locales!$M$4+D14*Locales!$M$5+E14*Locales!$M$6+F14*Locales!$M$7+G14*Locales!$M$8+H14*Locales!$M$9+I14*Locales!$M$10+J14*Locales!$M$11+K14*Locales!$M$12+L14*Locales!$M$13+M14*Locales!$M$14+N14*Locales!$M$15</f>
        <v/>
      </c>
      <c r="S14" s="13">
        <f>Q14+R14</f>
        <v/>
      </c>
      <c r="T14" s="13">
        <f>IF(Q14&lt;=0,0,MIN(Q14,IF(Q14&lt;=20,Datos!$B$25*Q14^Datos!$C$25+Datos!$D$25,Datos!$B$26*Q14^Datos!$C$26+Datos!$D$26)))</f>
        <v/>
      </c>
      <c r="U14" s="13">
        <f>IF(R14&lt;=0,0,MIN(R14,IF(R14&lt;=20,Datos!$B$25*R14^Datos!$C$25+Datos!$D$25,Datos!$B$26*R14^Datos!$C$26+Datos!$D$26)))</f>
        <v/>
      </c>
      <c r="V14" s="13">
        <f>SUM(Q14:Q$16)</f>
        <v/>
      </c>
      <c r="W14" s="13">
        <f>IF(V14&lt;=0,0,MIN(V14,IF(V14&lt;=20,Datos!$B$25*V14^Datos!$C$25+Datos!$D$25,Datos!$B$26*V14^Datos!$C$26+Datos!$D$26)))</f>
        <v/>
      </c>
    </row>
    <row r="15">
      <c r="A15" s="4" t="inlineStr">
        <is>
          <t>Planta 10</t>
        </is>
      </c>
      <c r="B15" s="5" t="n">
        <v>10</v>
      </c>
      <c r="C15" s="5" t="n">
        <v>24</v>
      </c>
      <c r="D15" s="5" t="n">
        <v>2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13">
        <f>Datos!$B$12+Datos!$B$13+(B15-1)*Datos!$B$14</f>
        <v/>
      </c>
      <c r="P15" s="13">
        <f>O15+Datos!$B$15</f>
        <v/>
      </c>
      <c r="Q15" s="13">
        <f>C15*Locales!$L$4+D15*Locales!$L$5+E15*Locales!$L$6+F15*Locales!$L$7+G15*Locales!$L$8+H15*Locales!$L$9+I15*Locales!$L$10+J15*Locales!$L$11+K15*Locales!$L$12+L15*Locales!$L$13+M15*Locales!$L$14+N15*Locales!$L$15</f>
        <v/>
      </c>
      <c r="R15" s="13">
        <f>C15*Locales!$M$4+D15*Locales!$M$5+E15*Locales!$M$6+F15*Locales!$M$7+G15*Locales!$M$8+H15*Locales!$M$9+I15*Locales!$M$10+J15*Locales!$M$11+K15*Locales!$M$12+L15*Locales!$M$13+M15*Locales!$M$14+N15*Locales!$M$15</f>
        <v/>
      </c>
      <c r="S15" s="13">
        <f>Q15+R15</f>
        <v/>
      </c>
      <c r="T15" s="13">
        <f>IF(Q15&lt;=0,0,MIN(Q15,IF(Q15&lt;=20,Datos!$B$25*Q15^Datos!$C$25+Datos!$D$25,Datos!$B$26*Q15^Datos!$C$26+Datos!$D$26)))</f>
        <v/>
      </c>
      <c r="U15" s="13">
        <f>IF(R15&lt;=0,0,MIN(R15,IF(R15&lt;=20,Datos!$B$25*R15^Datos!$C$25+Datos!$D$25,Datos!$B$26*R15^Datos!$C$26+Datos!$D$26)))</f>
        <v/>
      </c>
      <c r="V15" s="13">
        <f>SUM(Q15:Q$16)</f>
        <v/>
      </c>
      <c r="W15" s="13">
        <f>IF(V15&lt;=0,0,MIN(V15,IF(V15&lt;=20,Datos!$B$25*V15^Datos!$C$25+Datos!$D$25,Datos!$B$26*V15^Datos!$C$26+Datos!$D$26)))</f>
        <v/>
      </c>
    </row>
    <row r="16">
      <c r="A16" s="4" t="inlineStr">
        <is>
          <t>Planta 11</t>
        </is>
      </c>
      <c r="B16" s="5" t="n">
        <v>11</v>
      </c>
      <c r="C16" s="5" t="n">
        <v>24</v>
      </c>
      <c r="D16" s="5" t="n">
        <v>2</v>
      </c>
      <c r="E16" s="5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13">
        <f>Datos!$B$12+Datos!$B$13+(B16-1)*Datos!$B$14</f>
        <v/>
      </c>
      <c r="P16" s="13">
        <f>O16+Datos!$B$15</f>
        <v/>
      </c>
      <c r="Q16" s="13">
        <f>C16*Locales!$L$4+D16*Locales!$L$5+E16*Locales!$L$6+F16*Locales!$L$7+G16*Locales!$L$8+H16*Locales!$L$9+I16*Locales!$L$10+J16*Locales!$L$11+K16*Locales!$L$12+L16*Locales!$L$13+M16*Locales!$L$14+N16*Locales!$L$15</f>
        <v/>
      </c>
      <c r="R16" s="13">
        <f>C16*Locales!$M$4+D16*Locales!$M$5+E16*Locales!$M$6+F16*Locales!$M$7+G16*Locales!$M$8+H16*Locales!$M$9+I16*Locales!$M$10+J16*Locales!$M$11+K16*Locales!$M$12+L16*Locales!$M$13+M16*Locales!$M$14+N16*Locales!$M$15</f>
        <v/>
      </c>
      <c r="S16" s="13">
        <f>Q16+R16</f>
        <v/>
      </c>
      <c r="T16" s="13">
        <f>IF(Q16&lt;=0,0,MIN(Q16,IF(Q16&lt;=20,Datos!$B$25*Q16^Datos!$C$25+Datos!$D$25,Datos!$B$26*Q16^Datos!$C$26+Datos!$D$26)))</f>
        <v/>
      </c>
      <c r="U16" s="13">
        <f>IF(R16&lt;=0,0,MIN(R16,IF(R16&lt;=20,Datos!$B$25*R16^Datos!$C$25+Datos!$D$25,Datos!$B$26*R16^Datos!$C$26+Datos!$D$26)))</f>
        <v/>
      </c>
      <c r="V16" s="13">
        <f>SUM(Q16:Q$16)</f>
        <v/>
      </c>
      <c r="W16" s="13">
        <f>IF(V16&lt;=0,0,MIN(V16,IF(V16&lt;=20,Datos!$B$25*V16^Datos!$C$25+Datos!$D$25,Datos!$B$26*V16^Datos!$C$26+Datos!$D$26)))</f>
        <v/>
      </c>
    </row>
    <row r="17">
      <c r="A17" s="8" t="inlineStr">
        <is>
          <t>TOTAL EDIFICIO</t>
        </is>
      </c>
      <c r="Q17" s="14">
        <f>SUM(Q4:Q16)</f>
        <v/>
      </c>
      <c r="R17" s="14">
        <f>SUM(R4:R16)</f>
        <v/>
      </c>
      <c r="S17" s="14">
        <f>SUM(S4:S16)</f>
        <v/>
      </c>
      <c r="T17" s="14">
        <f>IF(Q17&lt;=0,0,MIN(Q17,IF(Q17&lt;=20,Datos!$B$25*Q17^Datos!$C$25+Datos!$D$25,Datos!$B$26*Q17^Datos!$C$26+Datos!$D$26)))</f>
        <v/>
      </c>
      <c r="U17" s="14">
        <f>IF(R17&lt;=0,0,MIN(R17,IF(R17&lt;=20,Datos!$B$25*R17^Datos!$C$25+Datos!$D$25,Datos!$B$26*R17^Datos!$C$26+Datos!$D$26)))</f>
        <v/>
      </c>
    </row>
    <row r="18">
      <c r="A18" s="8" t="inlineStr">
        <is>
          <t>Qc instalación general común (AF + alimentación producción ACS):</t>
        </is>
      </c>
      <c r="S18" s="14">
        <f>IF(S17&lt;=0,0,MIN(S17,IF(S17&lt;=20,Datos!$B$25*S17^Datos!$C$25+Datos!$D$25,Datos!$B$26*S17^Datos!$C$26+Datos!$D$26)))</f>
        <v/>
      </c>
    </row>
    <row r="19">
      <c r="A19" s="2" t="inlineStr">
        <is>
          <t>Nota: la simultaneidad se aplica al caudal instalado acumulado de cada tramo (UNE 149201). Qc nunca supera Qt.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50" customWidth="1" min="4" max="4"/>
    <col width="15" customWidth="1" min="5" max="5"/>
    <col width="15" customWidth="1" min="6" max="6"/>
    <col width="15" customWidth="1" min="7" max="7"/>
  </cols>
  <sheetData>
    <row r="1">
      <c r="A1" s="10" t="inlineStr">
        <is>
          <t>Predimensionado: plantas abastecibles en directo con la presión de red</t>
        </is>
      </c>
    </row>
    <row r="2">
      <c r="A2" s="2" t="inlineStr">
        <is>
          <t>P grifo = P red − (z grifo − z calzada) − Σhm − j·L·fLeq   (Procedimiento diseño UPV, paso 3). Valores de j, Σhm y longitudes = estimación previa al trazado.</t>
        </is>
      </c>
    </row>
    <row r="4">
      <c r="A4" s="3" t="inlineStr">
        <is>
          <t>Dato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Nota</t>
        </is>
      </c>
    </row>
    <row r="5">
      <c r="A5" s="4" t="inlineStr">
        <is>
          <t>Pendiente hidráulica de diseño j</t>
        </is>
      </c>
      <c r="B5" s="7" t="n">
        <v>40</v>
      </c>
      <c r="C5" s="4" t="inlineStr">
        <is>
          <t>mm/m</t>
        </is>
      </c>
      <c r="D5" s="6" t="inlineStr">
        <is>
          <t>HIPÓTESIS: rango 15-150 mm/m</t>
        </is>
      </c>
    </row>
    <row r="6">
      <c r="A6" s="4" t="inlineStr">
        <is>
          <t>Σ pérdidas singulares (llave, filtro, contador, retención, llaves)</t>
        </is>
      </c>
      <c r="B6" s="7" t="n">
        <v>5</v>
      </c>
      <c r="C6" s="4" t="inlineStr">
        <is>
          <t>mca</t>
        </is>
      </c>
      <c r="D6" s="6" t="inlineStr">
        <is>
          <t>HIPÓTESIS: se recalcula con K reales</t>
        </is>
      </c>
    </row>
    <row r="7">
      <c r="A7" s="4" t="inlineStr">
        <is>
          <t>L acometida → patinillo (incl. bajada a sótano)</t>
        </is>
      </c>
      <c r="B7" s="7" t="n">
        <v>20</v>
      </c>
      <c r="C7" s="4" t="inlineStr">
        <is>
          <t>m</t>
        </is>
      </c>
      <c r="D7" s="6" t="inlineStr">
        <is>
          <t>HIPÓTESIS: acometida por fachada OESTE, núcleo escalera 1 (medir en plano)</t>
        </is>
      </c>
    </row>
    <row r="8">
      <c r="A8" s="4" t="inlineStr">
        <is>
          <t>L horizontal planta: patinillo → habitación más alejada</t>
        </is>
      </c>
      <c r="B8" s="7" t="n">
        <v>47</v>
      </c>
      <c r="C8" s="4" t="inlineStr">
        <is>
          <t>m</t>
        </is>
      </c>
      <c r="D8" s="6" t="inlineStr">
        <is>
          <t>Medido en DWG: núcleo x≈4 m a hab. extremo x≈51 m</t>
        </is>
      </c>
    </row>
    <row r="9">
      <c r="A9" s="4" t="inlineStr">
        <is>
          <t>L interior habitación hasta aparato DSF</t>
        </is>
      </c>
      <c r="B9" s="7" t="n">
        <v>6</v>
      </c>
      <c r="C9" s="4" t="inlineStr">
        <is>
          <t>m</t>
        </is>
      </c>
      <c r="D9" s="6" t="inlineStr">
        <is>
          <t>HIPÓTESIS</t>
        </is>
      </c>
    </row>
    <row r="11">
      <c r="A11" s="3" t="inlineStr">
        <is>
          <t>Planta</t>
        </is>
      </c>
      <c r="B11" s="3" t="inlineStr">
        <is>
          <t>Cota grifo (m)</t>
        </is>
      </c>
      <c r="C11" s="3" t="inlineStr">
        <is>
          <t>L real (m)</t>
        </is>
      </c>
      <c r="D11" s="3" t="inlineStr">
        <is>
          <t>hf = j·L·fLeq (mca)</t>
        </is>
      </c>
      <c r="E11" s="3" t="inlineStr">
        <is>
          <t>Σhm (mca)</t>
        </is>
      </c>
      <c r="F11" s="3" t="inlineStr">
        <is>
          <t>P grifo DSF (mca)</t>
        </is>
      </c>
      <c r="G11" s="3" t="inlineStr">
        <is>
          <t>¿Directo? (≥10 mca)</t>
        </is>
      </c>
    </row>
    <row r="12">
      <c r="A12" s="15">
        <f>Plantas!A5</f>
        <v/>
      </c>
      <c r="B12" s="12">
        <f>Plantas!P5</f>
        <v/>
      </c>
      <c r="C12" s="16">
        <f>$B$7+(B12-Datos!$B$16)+$B$8+$B$9</f>
        <v/>
      </c>
      <c r="D12" s="13">
        <f>$B$5/1000*C12*Datos!$B$17</f>
        <v/>
      </c>
      <c r="E12" s="13">
        <f>$B$6</f>
        <v/>
      </c>
      <c r="F12" s="13">
        <f>Datos!$B$7-(B12-Datos!$B$11)-D12-E12</f>
        <v/>
      </c>
      <c r="G12" s="4">
        <f>IF(F12&gt;=Datos!$B$18,"SÍ","NO → bombeo")</f>
        <v/>
      </c>
    </row>
    <row r="13">
      <c r="A13" s="15">
        <f>Plantas!A6</f>
        <v/>
      </c>
      <c r="B13" s="12">
        <f>Plantas!P6</f>
        <v/>
      </c>
      <c r="C13" s="16">
        <f>$B$7+(B13-Datos!$B$16)+$B$8+$B$9</f>
        <v/>
      </c>
      <c r="D13" s="13">
        <f>$B$5/1000*C13*Datos!$B$17</f>
        <v/>
      </c>
      <c r="E13" s="13">
        <f>$B$6</f>
        <v/>
      </c>
      <c r="F13" s="13">
        <f>Datos!$B$7-(B13-Datos!$B$11)-D13-E13</f>
        <v/>
      </c>
      <c r="G13" s="4">
        <f>IF(F13&gt;=Datos!$B$18,"SÍ","NO → bombeo")</f>
        <v/>
      </c>
    </row>
    <row r="14">
      <c r="A14" s="15">
        <f>Plantas!A7</f>
        <v/>
      </c>
      <c r="B14" s="12">
        <f>Plantas!P7</f>
        <v/>
      </c>
      <c r="C14" s="16">
        <f>$B$7+(B14-Datos!$B$16)+$B$8+$B$9</f>
        <v/>
      </c>
      <c r="D14" s="13">
        <f>$B$5/1000*C14*Datos!$B$17</f>
        <v/>
      </c>
      <c r="E14" s="13">
        <f>$B$6</f>
        <v/>
      </c>
      <c r="F14" s="13">
        <f>Datos!$B$7-(B14-Datos!$B$11)-D14-E14</f>
        <v/>
      </c>
      <c r="G14" s="4">
        <f>IF(F14&gt;=Datos!$B$18,"SÍ","NO → bombeo")</f>
        <v/>
      </c>
    </row>
    <row r="15">
      <c r="A15" s="15">
        <f>Plantas!A8</f>
        <v/>
      </c>
      <c r="B15" s="12">
        <f>Plantas!P8</f>
        <v/>
      </c>
      <c r="C15" s="16">
        <f>$B$7+(B15-Datos!$B$16)+$B$8+$B$9</f>
        <v/>
      </c>
      <c r="D15" s="13">
        <f>$B$5/1000*C15*Datos!$B$17</f>
        <v/>
      </c>
      <c r="E15" s="13">
        <f>$B$6</f>
        <v/>
      </c>
      <c r="F15" s="13">
        <f>Datos!$B$7-(B15-Datos!$B$11)-D15-E15</f>
        <v/>
      </c>
      <c r="G15" s="4">
        <f>IF(F15&gt;=Datos!$B$18,"SÍ","NO → bombeo")</f>
        <v/>
      </c>
    </row>
    <row r="16">
      <c r="A16" s="15">
        <f>Plantas!A9</f>
        <v/>
      </c>
      <c r="B16" s="12">
        <f>Plantas!P9</f>
        <v/>
      </c>
      <c r="C16" s="16">
        <f>$B$7+(B16-Datos!$B$16)+$B$8+$B$9</f>
        <v/>
      </c>
      <c r="D16" s="13">
        <f>$B$5/1000*C16*Datos!$B$17</f>
        <v/>
      </c>
      <c r="E16" s="13">
        <f>$B$6</f>
        <v/>
      </c>
      <c r="F16" s="13">
        <f>Datos!$B$7-(B16-Datos!$B$11)-D16-E16</f>
        <v/>
      </c>
      <c r="G16" s="4">
        <f>IF(F16&gt;=Datos!$B$18,"SÍ","NO → bombeo")</f>
        <v/>
      </c>
    </row>
    <row r="17">
      <c r="A17" s="15">
        <f>Plantas!A10</f>
        <v/>
      </c>
      <c r="B17" s="12">
        <f>Plantas!P10</f>
        <v/>
      </c>
      <c r="C17" s="16">
        <f>$B$7+(B17-Datos!$B$16)+$B$8+$B$9</f>
        <v/>
      </c>
      <c r="D17" s="13">
        <f>$B$5/1000*C17*Datos!$B$17</f>
        <v/>
      </c>
      <c r="E17" s="13">
        <f>$B$6</f>
        <v/>
      </c>
      <c r="F17" s="13">
        <f>Datos!$B$7-(B17-Datos!$B$11)-D17-E17</f>
        <v/>
      </c>
      <c r="G17" s="4">
        <f>IF(F17&gt;=Datos!$B$18,"SÍ","NO → bombeo")</f>
        <v/>
      </c>
    </row>
    <row r="18">
      <c r="A18" s="15">
        <f>Plantas!A11</f>
        <v/>
      </c>
      <c r="B18" s="12">
        <f>Plantas!P11</f>
        <v/>
      </c>
      <c r="C18" s="16">
        <f>$B$7+(B18-Datos!$B$16)+$B$8+$B$9</f>
        <v/>
      </c>
      <c r="D18" s="13">
        <f>$B$5/1000*C18*Datos!$B$17</f>
        <v/>
      </c>
      <c r="E18" s="13">
        <f>$B$6</f>
        <v/>
      </c>
      <c r="F18" s="13">
        <f>Datos!$B$7-(B18-Datos!$B$11)-D18-E18</f>
        <v/>
      </c>
      <c r="G18" s="4">
        <f>IF(F18&gt;=Datos!$B$18,"SÍ","NO → bombeo")</f>
        <v/>
      </c>
    </row>
    <row r="19">
      <c r="A19" s="15">
        <f>Plantas!A12</f>
        <v/>
      </c>
      <c r="B19" s="12">
        <f>Plantas!P12</f>
        <v/>
      </c>
      <c r="C19" s="16">
        <f>$B$7+(B19-Datos!$B$16)+$B$8+$B$9</f>
        <v/>
      </c>
      <c r="D19" s="13">
        <f>$B$5/1000*C19*Datos!$B$17</f>
        <v/>
      </c>
      <c r="E19" s="13">
        <f>$B$6</f>
        <v/>
      </c>
      <c r="F19" s="13">
        <f>Datos!$B$7-(B19-Datos!$B$11)-D19-E19</f>
        <v/>
      </c>
      <c r="G19" s="4">
        <f>IF(F19&gt;=Datos!$B$18,"SÍ","NO → bombeo")</f>
        <v/>
      </c>
    </row>
    <row r="20">
      <c r="A20" s="15">
        <f>Plantas!A13</f>
        <v/>
      </c>
      <c r="B20" s="12">
        <f>Plantas!P13</f>
        <v/>
      </c>
      <c r="C20" s="16">
        <f>$B$7+(B20-Datos!$B$16)+$B$8+$B$9</f>
        <v/>
      </c>
      <c r="D20" s="13">
        <f>$B$5/1000*C20*Datos!$B$17</f>
        <v/>
      </c>
      <c r="E20" s="13">
        <f>$B$6</f>
        <v/>
      </c>
      <c r="F20" s="13">
        <f>Datos!$B$7-(B20-Datos!$B$11)-D20-E20</f>
        <v/>
      </c>
      <c r="G20" s="4">
        <f>IF(F20&gt;=Datos!$B$18,"SÍ","NO → bombeo")</f>
        <v/>
      </c>
    </row>
    <row r="21">
      <c r="A21" s="15">
        <f>Plantas!A14</f>
        <v/>
      </c>
      <c r="B21" s="12">
        <f>Plantas!P14</f>
        <v/>
      </c>
      <c r="C21" s="16">
        <f>$B$7+(B21-Datos!$B$16)+$B$8+$B$9</f>
        <v/>
      </c>
      <c r="D21" s="13">
        <f>$B$5/1000*C21*Datos!$B$17</f>
        <v/>
      </c>
      <c r="E21" s="13">
        <f>$B$6</f>
        <v/>
      </c>
      <c r="F21" s="13">
        <f>Datos!$B$7-(B21-Datos!$B$11)-D21-E21</f>
        <v/>
      </c>
      <c r="G21" s="4">
        <f>IF(F21&gt;=Datos!$B$18,"SÍ","NO → bombeo")</f>
        <v/>
      </c>
    </row>
    <row r="22">
      <c r="A22" s="15">
        <f>Plantas!A15</f>
        <v/>
      </c>
      <c r="B22" s="12">
        <f>Plantas!P15</f>
        <v/>
      </c>
      <c r="C22" s="16">
        <f>$B$7+(B22-Datos!$B$16)+$B$8+$B$9</f>
        <v/>
      </c>
      <c r="D22" s="13">
        <f>$B$5/1000*C22*Datos!$B$17</f>
        <v/>
      </c>
      <c r="E22" s="13">
        <f>$B$6</f>
        <v/>
      </c>
      <c r="F22" s="13">
        <f>Datos!$B$7-(B22-Datos!$B$11)-D22-E22</f>
        <v/>
      </c>
      <c r="G22" s="4">
        <f>IF(F22&gt;=Datos!$B$18,"SÍ","NO → bombeo")</f>
        <v/>
      </c>
    </row>
    <row r="23">
      <c r="A23" s="15">
        <f>Plantas!A16</f>
        <v/>
      </c>
      <c r="B23" s="12">
        <f>Plantas!P16</f>
        <v/>
      </c>
      <c r="C23" s="16">
        <f>$B$7+(B23-Datos!$B$16)+$B$8+$B$9</f>
        <v/>
      </c>
      <c r="D23" s="13">
        <f>$B$5/1000*C23*Datos!$B$17</f>
        <v/>
      </c>
      <c r="E23" s="13">
        <f>$B$6</f>
        <v/>
      </c>
      <c r="F23" s="13">
        <f>Datos!$B$7-(B23-Datos!$B$11)-D23-E23</f>
        <v/>
      </c>
      <c r="G23" s="4">
        <f>IF(F23&gt;=Datos!$B$18,"SÍ","NO → bombeo")</f>
        <v/>
      </c>
    </row>
    <row r="25">
      <c r="A25" s="8" t="inlineStr">
        <is>
          <t>Plantas en directo (incluida PB):</t>
        </is>
      </c>
      <c r="B25" s="8">
        <f>COUNTIF(G12:G23,"SÍ")</f>
        <v/>
      </c>
    </row>
    <row r="26">
      <c r="A26" s="8" t="inlineStr">
        <is>
          <t>Plantas con bombeo:</t>
        </is>
      </c>
      <c r="B26" s="8">
        <f>COUNTIF(G12:G23,"NO*")</f>
        <v/>
      </c>
    </row>
    <row r="28">
      <c r="A28" s="8" t="inlineStr">
        <is>
          <t>Comprobación nº de plantas por estación con BVF (Procedimiento paso 3): Pmin + Δp calderín + Δz·NP &lt; 50 mca</t>
        </is>
      </c>
    </row>
    <row r="29">
      <c r="A29" t="inlineStr">
        <is>
          <t>NP máximo con BVF:</t>
        </is>
      </c>
      <c r="B29" s="4">
        <f>INT((Datos!$B$19-Datos!$B$18-Datos!$B$20)/Datos!$B$14)</f>
        <v/>
      </c>
    </row>
    <row r="30">
      <c r="A30" s="6" t="inlineStr">
        <is>
          <t>Límite enunciado (cond. 28): BVF ≤ 6 alturas · BVV ≤ 10 alturas por estación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2026-10-06T13:19:49Z</dcterms:created>
  <dcterms:modified xsi:type="dcterms:W3CDTF">2026-10-06T13:19:49Z</dcterms:modified>
</cp:coreProperties>
</file>