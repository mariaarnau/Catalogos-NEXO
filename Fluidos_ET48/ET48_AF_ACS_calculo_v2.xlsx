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  <sheet name="Locales" sheetId="3" state="visible" r:id="rId3"/>
    <sheet name="Plantas" sheetId="4" state="visible" r:id="rId4"/>
    <sheet name="Escalones" sheetId="5" state="visible" r:id="rId5"/>
    <sheet name="Tubos" sheetId="6" state="visible" r:id="rId6"/>
    <sheet name="Tramos" sheetId="7" state="visible" r:id="rId7"/>
    <sheet name="Recorridos" sheetId="8" state="visible" r:id="rId8"/>
    <sheet name="Bombeo" sheetId="9" state="visible" r:id="rId9"/>
    <sheet name="A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0.000E+00"/>
    <numFmt numFmtId="167" formatCode="0.0E+00"/>
    <numFmt numFmtId="168" formatCode="0.0000"/>
    <numFmt numFmtId="169" formatCode="0.0%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sz val="9"/>
    </font>
    <font>
      <name val="Arial"/>
      <b val="1"/>
      <sz val="12"/>
    </font>
    <font>
      <name val="Arial"/>
      <color rgb="00008000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2" fontId="8" fillId="0" borderId="0" pivotButton="0" quotePrefix="0" xfId="0"/>
    <xf numFmtId="2" fontId="4" fillId="0" borderId="0" pivotButton="0" quotePrefix="0" xfId="0"/>
    <xf numFmtId="2" fontId="3" fillId="0" borderId="0" pivotButton="0" quotePrefix="0" xfId="0"/>
    <xf numFmtId="0" fontId="8" fillId="0" borderId="0" pivotButton="0" quotePrefix="0" xfId="0"/>
    <xf numFmtId="165" fontId="4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2" fontId="5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0" fontId="9" fillId="0" borderId="0" pivotButton="0" quotePrefix="0" xfId="0"/>
    <xf numFmtId="2" fontId="5" fillId="3" borderId="0" pivotButton="0" quotePrefix="0" xfId="0"/>
    <xf numFmtId="9" fontId="4" fillId="0" borderId="0" pivotButton="0" quotePrefix="0" xfId="0"/>
    <xf numFmtId="16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ET48</author>
  </authors>
  <commentList>
    <comment ref="B25" authorId="0" shapeId="0">
      <text>
        <t>Coeficientes UNE 149201:2008 para hoteles (de memoria del redactor). COMPROBAR con los apuntes / norma antes de entregar.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50" customWidth="1" min="3" max="3"/>
  </cols>
  <sheetData>
    <row r="1">
      <c r="A1" s="1" t="inlineStr">
        <is>
          <t>RESUMEN · EQUIPO 48 · Entrega 1 (AF + ACS) · Hotel 3* Barcelona</t>
        </is>
      </c>
    </row>
    <row r="2">
      <c r="A2" s="2" t="inlineStr">
        <is>
          <t>Todos los valores son fórmulas enlazadas a las hojas de cálculo.</t>
        </is>
      </c>
    </row>
    <row r="4">
      <c r="A4" s="3" t="inlineStr">
        <is>
          <t>Concepto</t>
        </is>
      </c>
      <c r="B4" s="3" t="inlineStr">
        <is>
          <t>Valor</t>
        </is>
      </c>
      <c r="C4" s="3" t="inlineStr">
        <is>
          <t>Unidad / detalle</t>
        </is>
      </c>
    </row>
    <row r="5">
      <c r="A5" s="4" t="inlineStr">
        <is>
          <t>Suministro</t>
        </is>
      </c>
      <c r="B5" s="13" t="inlineStr">
        <is>
          <t>Mixto DIR+ALJ</t>
        </is>
      </c>
      <c r="C5" s="4" t="inlineStr"/>
    </row>
    <row r="6">
      <c r="A6" s="4" t="inlineStr">
        <is>
          <t>Plantas en directo</t>
        </is>
      </c>
      <c r="B6" s="13" t="inlineStr">
        <is>
          <t>PB a P7</t>
        </is>
      </c>
      <c r="C6" s="4" t="inlineStr">
        <is>
          <t>Recorridos R1-R4: presión mínima en grifo P7</t>
        </is>
      </c>
    </row>
    <row r="7">
      <c r="A7" s="4" t="inlineStr">
        <is>
          <t>Presión mínima en grifo más desfavorable en directo</t>
        </is>
      </c>
      <c r="B7" s="13">
        <f>MIN(Recorridos!F5:F8)</f>
        <v/>
      </c>
      <c r="C7" s="4" t="inlineStr">
        <is>
          <t>mca (≥10)</t>
        </is>
      </c>
    </row>
    <row r="8">
      <c r="A8" s="4" t="inlineStr">
        <is>
          <t>Plantas con bombeo</t>
        </is>
      </c>
      <c r="B8" s="13" t="inlineStr">
        <is>
          <t>P8 a P11</t>
        </is>
      </c>
      <c r="C8" s="4" t="inlineStr">
        <is>
          <t>1 estación de bombeo BVV aspirando de aljibe</t>
        </is>
      </c>
    </row>
    <row r="9">
      <c r="A9" s="4" t="inlineStr">
        <is>
          <t>Caudal simultáneo instalación general (Qc)</t>
        </is>
      </c>
      <c r="B9" s="13">
        <f>INDEX(Tramos!$K$5:$K$112,MATCH("G1",Tramos!$A$5:$A$112,0))</f>
        <v/>
      </c>
      <c r="C9" s="4" t="inlineStr">
        <is>
          <t>l/s</t>
        </is>
      </c>
    </row>
    <row r="10">
      <c r="A10" s="4" t="inlineStr">
        <is>
          <t>Acometida / tubo de alimentación</t>
        </is>
      </c>
      <c r="B10" s="13">
        <f>INDEX(Tramos!$N$5:$N$112,MATCH("G1",Tramos!$A$5:$A$112,0))</f>
        <v/>
      </c>
      <c r="C10" s="4" t="inlineStr">
        <is>
          <t>PE100 SDR11 PN16</t>
        </is>
      </c>
    </row>
    <row r="11">
      <c r="A11" s="4" t="inlineStr">
        <is>
          <t>Contador general</t>
        </is>
      </c>
      <c r="B11" s="13">
        <f>INDEX(Tramos!$N$5:$N$112,MATCH("E1",Tramos!$A$5:$A$112,0))</f>
        <v/>
      </c>
      <c r="C11" s="4" t="inlineStr">
        <is>
          <t>Woltman (velocidad 0,8-1,2 m/s)</t>
        </is>
      </c>
    </row>
    <row r="12">
      <c r="A12" s="4" t="inlineStr">
        <is>
          <t>Válvula de retención general</t>
        </is>
      </c>
      <c r="B12" s="13">
        <f>INDEX(Tramos!$N$5:$N$112,MATCH("E2",Tramos!$A$5:$A$112,0))</f>
        <v/>
      </c>
      <c r="C12" s="4" t="inlineStr"/>
    </row>
    <row r="13">
      <c r="A13" s="4" t="inlineStr">
        <is>
          <t>Filtro general</t>
        </is>
      </c>
      <c r="B13" s="13">
        <f>INDEX(Tramos!$N$5:$N$112,MATCH("E4",Tramos!$A$5:$A$112,0))</f>
        <v/>
      </c>
      <c r="C13" s="4" t="inlineStr"/>
    </row>
    <row r="14">
      <c r="A14" s="4" t="inlineStr">
        <is>
          <t>Montante directo O (tramo inicial)</t>
        </is>
      </c>
      <c r="B14" s="13">
        <f>INDEX(Tramos!$N$5:$N$112,MATCH("MDL1",Tramos!$A$5:$A$112,0))</f>
        <v/>
      </c>
      <c r="C14" s="4" t="inlineStr">
        <is>
          <t>multicapa</t>
        </is>
      </c>
    </row>
    <row r="15">
      <c r="A15" s="4" t="inlineStr">
        <is>
          <t>Montante bombeo O (tramo inicial)</t>
        </is>
      </c>
      <c r="B15" s="13">
        <f>INDEX(Tramos!$N$5:$N$112,MATCH("MBL8",Tramos!$A$5:$A$112,0))</f>
        <v/>
      </c>
      <c r="C15" s="4" t="inlineStr">
        <is>
          <t>multicapa</t>
        </is>
      </c>
    </row>
    <row r="16">
      <c r="A16" s="4" t="inlineStr">
        <is>
          <t>Montante ACS alta O (tramo inicial)</t>
        </is>
      </c>
      <c r="B16" s="13">
        <f>INDEX(Tramos!$N$5:$N$112,MATCH("MCAL8",Tramos!$A$5:$A$112,0))</f>
        <v/>
      </c>
      <c r="C16" s="4" t="inlineStr">
        <is>
          <t>multicapa</t>
        </is>
      </c>
    </row>
    <row r="17">
      <c r="A17" s="4" t="inlineStr">
        <is>
          <t>Montante ACS baja O (tramo inicial)</t>
        </is>
      </c>
      <c r="B17" s="13">
        <f>INDEX(Tramos!$N$5:$N$112,MATCH("MCBL1",Tramos!$A$5:$A$112,0))</f>
        <v/>
      </c>
      <c r="C17" s="4" t="inlineStr">
        <is>
          <t>multicapa</t>
        </is>
      </c>
    </row>
    <row r="18">
      <c r="A18" s="4" t="inlineStr">
        <is>
          <t>Presión a mantener en calderín (BVV)</t>
        </is>
      </c>
      <c r="B18" s="13">
        <f>Bombeo!B5</f>
        <v/>
      </c>
      <c r="C18" s="4" t="inlineStr">
        <is>
          <t>mca</t>
        </is>
      </c>
    </row>
    <row r="19">
      <c r="A19" s="4" t="inlineStr">
        <is>
          <t>Caudal de bombeo</t>
        </is>
      </c>
      <c r="B19" s="13">
        <f>Bombeo!B6</f>
        <v/>
      </c>
      <c r="C19" s="4" t="inlineStr">
        <is>
          <t>l/s</t>
        </is>
      </c>
    </row>
    <row r="20">
      <c r="A20" s="4" t="inlineStr">
        <is>
          <t>Nº de bombas</t>
        </is>
      </c>
      <c r="B20" s="13">
        <f>Bombeo!B8&amp;" + 1 reserva"</f>
        <v/>
      </c>
      <c r="C20" s="4" t="inlineStr"/>
    </row>
    <row r="21">
      <c r="A21" s="4" t="inlineStr">
        <is>
          <t>Altura de bombeo</t>
        </is>
      </c>
      <c r="B21" s="13">
        <f>Bombeo!B11</f>
        <v/>
      </c>
      <c r="C21" s="4" t="inlineStr">
        <is>
          <t>mca</t>
        </is>
      </c>
    </row>
    <row r="22">
      <c r="A22" s="4" t="inlineStr">
        <is>
          <t>Potencia eléctrica por bomba</t>
        </is>
      </c>
      <c r="B22" s="13">
        <f>Bombeo!B14</f>
        <v/>
      </c>
      <c r="C22" s="4" t="inlineStr">
        <is>
          <t>kW</t>
        </is>
      </c>
    </row>
    <row r="23">
      <c r="A23" s="4" t="inlineStr">
        <is>
          <t>Calderín</t>
        </is>
      </c>
      <c r="B23" s="13">
        <f>Bombeo!B15</f>
        <v/>
      </c>
      <c r="C23" s="4" t="inlineStr">
        <is>
          <t>l</t>
        </is>
      </c>
    </row>
    <row r="24">
      <c r="A24" s="4" t="inlineStr">
        <is>
          <t>Presión estática máxima (bombeo, planta más baja)</t>
        </is>
      </c>
      <c r="B24" s="13">
        <f>Bombeo!B16</f>
        <v/>
      </c>
      <c r="C24" s="4" t="inlineStr">
        <is>
          <t>mca (&lt;50)</t>
        </is>
      </c>
    </row>
    <row r="25">
      <c r="A25" s="4" t="inlineStr">
        <is>
          <t>Tarado válvula reductora ACS baja</t>
        </is>
      </c>
      <c r="B25" s="13">
        <f>Bombeo!B19</f>
        <v/>
      </c>
      <c r="C25" s="4" t="inlineStr">
        <is>
          <t>mca</t>
        </is>
      </c>
    </row>
    <row r="26">
      <c r="A26" s="4" t="inlineStr">
        <is>
          <t>Aljibe</t>
        </is>
      </c>
      <c r="B26" s="13">
        <f>Bombeo!B25&amp;" vasos × "&amp;Bombeo!B27&amp;" l"</f>
        <v/>
      </c>
      <c r="C26" s="4">
        <f>Bombeo!B29</f>
        <v/>
      </c>
    </row>
    <row r="27">
      <c r="A27" s="4" t="inlineStr">
        <is>
          <t>Demanda ACS</t>
        </is>
      </c>
      <c r="B27" s="13">
        <f>ACS!B8</f>
        <v/>
      </c>
      <c r="C27" s="4" t="inlineStr">
        <is>
          <t>l/día a 60 ºC</t>
        </is>
      </c>
    </row>
    <row r="28">
      <c r="A28" s="4" t="inlineStr">
        <is>
          <t>Contribución renovable exigida / obtenida</t>
        </is>
      </c>
      <c r="B28" s="13">
        <f>TEXT(ACS!B9,"0%")&amp;" / "&amp;TEXT(ACS!B12,"0%")</f>
        <v/>
      </c>
      <c r="C28" s="4">
        <f>ACS!B13</f>
        <v/>
      </c>
    </row>
    <row r="29">
      <c r="A29" s="4" t="inlineStr">
        <is>
          <t>Potencia bombas de calor</t>
        </is>
      </c>
      <c r="B29" s="13">
        <f>ACS!B17</f>
        <v/>
      </c>
      <c r="C29" s="4" t="inlineStr">
        <is>
          <t>kW</t>
        </is>
      </c>
    </row>
    <row r="30">
      <c r="A30" s="4" t="inlineStr">
        <is>
          <t>Volumen de acumulación ACS</t>
        </is>
      </c>
      <c r="B30" s="13">
        <f>ACS!B18</f>
        <v/>
      </c>
      <c r="C30" s="4" t="inlineStr">
        <is>
          <t>l</t>
        </is>
      </c>
    </row>
    <row r="33">
      <c r="A33" s="23" t="inlineStr">
        <is>
          <t>Hipótesis pendientes de confirmar (celdas amarillas): coeficientes UNE hotel (Datos), K de elementos singulares (Datos), SCOP y T agua fría (ACS), ocupación 2 pers/hab.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60" customWidth="1" min="4" max="4"/>
    <col width="40" customWidth="1" min="6" max="6"/>
    <col width="8" customWidth="1" min="7" max="7"/>
  </cols>
  <sheetData>
    <row r="1">
      <c r="A1" s="1" t="inlineStr">
        <is>
          <t>TRABAJO INSTALACIONES DE FLUIDOS 2026-27 · EQUIPO 48 · Hotel 3*</t>
        </is>
      </c>
    </row>
    <row r="2">
      <c r="A2" s="2" t="inlineStr">
        <is>
          <t>Leyenda: texto azul = dato de entrada (editable) · negro = fórmula · fondo amarillo = hipótesis a confirmar con el tutor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nota</t>
        </is>
      </c>
    </row>
    <row r="5">
      <c r="A5" s="4" t="inlineStr">
        <is>
          <t>Equipo</t>
        </is>
      </c>
      <c r="B5" s="5" t="n">
        <v>48</v>
      </c>
      <c r="C5" s="4" t="inlineStr"/>
      <c r="D5" s="6" t="inlineStr">
        <is>
          <t>Enunciado, Anexo I</t>
        </is>
      </c>
    </row>
    <row r="6">
      <c r="A6" s="4" t="inlineStr">
        <is>
          <t>Tipo de suministro</t>
        </is>
      </c>
      <c r="B6" s="4" t="inlineStr">
        <is>
          <t>Mixto (DIR+ALJ)</t>
        </is>
      </c>
      <c r="C6" s="4" t="inlineStr"/>
      <c r="D6" s="6" t="inlineStr">
        <is>
          <t>Enunciado, Anexo I</t>
        </is>
      </c>
    </row>
    <row r="7">
      <c r="A7" s="4" t="inlineStr">
        <is>
          <t>Presión de red (a cota calzada 0,00)</t>
        </is>
      </c>
      <c r="B7" s="5" t="n">
        <v>40</v>
      </c>
      <c r="C7" s="4" t="inlineStr">
        <is>
          <t>mca</t>
        </is>
      </c>
      <c r="D7" s="6" t="inlineStr">
        <is>
          <t>Enunciado, Anexo I</t>
        </is>
      </c>
    </row>
    <row r="8">
      <c r="A8" s="4" t="inlineStr">
        <is>
          <t>Plantas por encima de PB</t>
        </is>
      </c>
      <c r="B8" s="5" t="n">
        <v>11</v>
      </c>
      <c r="C8" s="4" t="inlineStr"/>
      <c r="D8" s="6" t="inlineStr">
        <is>
          <t>Enunciado, Anexo I</t>
        </is>
      </c>
    </row>
    <row r="9">
      <c r="A9" s="4" t="inlineStr">
        <is>
          <t>Emplazamiento</t>
        </is>
      </c>
      <c r="B9" s="4" t="inlineStr">
        <is>
          <t>Barcelona</t>
        </is>
      </c>
      <c r="C9" s="4" t="inlineStr"/>
      <c r="D9" s="6" t="inlineStr">
        <is>
          <t>Enunciado, Anexo I</t>
        </is>
      </c>
    </row>
    <row r="10">
      <c r="A10" s="4" t="inlineStr">
        <is>
          <t>Acometidas</t>
        </is>
      </c>
      <c r="B10" s="4" t="inlineStr">
        <is>
          <t>Este/Oeste</t>
        </is>
      </c>
      <c r="C10" s="4" t="inlineStr"/>
      <c r="D10" s="6" t="inlineStr">
        <is>
          <t>Enunciado, Anexo I</t>
        </is>
      </c>
    </row>
    <row r="11">
      <c r="A11" s="4" t="inlineStr">
        <is>
          <t>Cota calzada</t>
        </is>
      </c>
      <c r="B11" s="5" t="n">
        <v>0</v>
      </c>
      <c r="C11" s="4" t="inlineStr">
        <is>
          <t>m</t>
        </is>
      </c>
      <c r="D11" s="6" t="inlineStr">
        <is>
          <t>Plano esquema vertical</t>
        </is>
      </c>
    </row>
    <row r="12">
      <c r="A12" s="4" t="inlineStr">
        <is>
          <t>Cota solera PB</t>
        </is>
      </c>
      <c r="B12" s="5" t="n">
        <v>0.3</v>
      </c>
      <c r="C12" s="4" t="inlineStr">
        <is>
          <t>m</t>
        </is>
      </c>
      <c r="D12" s="6" t="inlineStr">
        <is>
          <t>Enunciado cond. 6</t>
        </is>
      </c>
    </row>
    <row r="13">
      <c r="A13" s="4" t="inlineStr">
        <is>
          <t>Altura PB (solera PB a solera P1)</t>
        </is>
      </c>
      <c r="B13" s="5" t="n">
        <v>4.1</v>
      </c>
      <c r="C13" s="4" t="inlineStr">
        <is>
          <t>m</t>
        </is>
      </c>
      <c r="D13" s="6" t="inlineStr">
        <is>
          <t>Enunciado cond. 6</t>
        </is>
      </c>
    </row>
    <row r="14">
      <c r="A14" s="4" t="inlineStr">
        <is>
          <t>Altura planta tipo (solera a solera)</t>
        </is>
      </c>
      <c r="B14" s="5" t="n">
        <v>3.3</v>
      </c>
      <c r="C14" s="4" t="inlineStr">
        <is>
          <t>m</t>
        </is>
      </c>
      <c r="D14" s="6" t="inlineStr">
        <is>
          <t>Enunciado cond. 6</t>
        </is>
      </c>
    </row>
    <row r="15">
      <c r="A15" s="4" t="inlineStr">
        <is>
          <t>Altura conexión aparatos sobre solera</t>
        </is>
      </c>
      <c r="B15" s="5" t="n">
        <v>0.6</v>
      </c>
      <c r="C15" s="4" t="inlineStr">
        <is>
          <t>m</t>
        </is>
      </c>
      <c r="D15" s="6" t="inlineStr">
        <is>
          <t>Enunciado cond. 32</t>
        </is>
      </c>
    </row>
    <row r="16">
      <c r="A16" s="4" t="inlineStr">
        <is>
          <t>Cota solera sótano</t>
        </is>
      </c>
      <c r="B16" s="5" t="n">
        <v>-2.2</v>
      </c>
      <c r="C16" s="4" t="inlineStr">
        <is>
          <t>m</t>
        </is>
      </c>
      <c r="D16" s="6" t="inlineStr">
        <is>
          <t>Esquema vertical DWG: cota 2,198 m bajo calzada 0,00 (rampa 12 m al 18 % = 2,16 m)</t>
        </is>
      </c>
    </row>
    <row r="17">
      <c r="A17" s="4" t="inlineStr">
        <is>
          <t>Mayoración longitudes (f L-eq)</t>
        </is>
      </c>
      <c r="B17" s="5" t="n">
        <v>1.3</v>
      </c>
      <c r="C17" s="4" t="inlineStr"/>
      <c r="D17" s="6" t="inlineStr">
        <is>
          <t>Enunciado cond. 33</t>
        </is>
      </c>
    </row>
    <row r="18">
      <c r="A18" s="4" t="inlineStr">
        <is>
          <t>Presión mínima en grifo</t>
        </is>
      </c>
      <c r="B18" s="5" t="n">
        <v>10</v>
      </c>
      <c r="C18" s="4" t="inlineStr">
        <is>
          <t>mca</t>
        </is>
      </c>
      <c r="D18" s="6" t="inlineStr">
        <is>
          <t>CTE DB-HS4 2.1.3</t>
        </is>
      </c>
    </row>
    <row r="19">
      <c r="A19" s="4" t="inlineStr">
        <is>
          <t>Presión máxima en grifo</t>
        </is>
      </c>
      <c r="B19" s="5" t="n">
        <v>50</v>
      </c>
      <c r="C19" s="4" t="inlineStr">
        <is>
          <t>mca</t>
        </is>
      </c>
      <c r="D19" s="6" t="inlineStr">
        <is>
          <t>CTE DB-HS4 2.1.3</t>
        </is>
      </c>
    </row>
    <row r="20">
      <c r="A20" s="4" t="inlineStr">
        <is>
          <t>Diferencial calderín (BVF) Δp</t>
        </is>
      </c>
      <c r="B20" s="5" t="n">
        <v>20</v>
      </c>
      <c r="C20" s="4" t="inlineStr">
        <is>
          <t>mca</t>
        </is>
      </c>
      <c r="D20" s="6" t="inlineStr">
        <is>
          <t>Procedimiento diseño UPV</t>
        </is>
      </c>
    </row>
    <row r="23">
      <c r="A23" s="8" t="inlineStr">
        <is>
          <t>Simultaneidad UNE 149201 · Hoteles, discotecas, museos:  Qc = A·Qt^B + C  (l/s)</t>
        </is>
      </c>
    </row>
    <row r="24">
      <c r="A24" s="3" t="inlineStr">
        <is>
          <t>Rango</t>
        </is>
      </c>
      <c r="B24" s="3" t="inlineStr">
        <is>
          <t>A</t>
        </is>
      </c>
      <c r="C24" s="3" t="inlineStr">
        <is>
          <t>B</t>
        </is>
      </c>
      <c r="D24" s="3" t="inlineStr">
        <is>
          <t>C</t>
        </is>
      </c>
    </row>
    <row r="25">
      <c r="A25" t="inlineStr">
        <is>
          <t>Qt ≤ 20 l/s</t>
        </is>
      </c>
      <c r="B25" s="7" t="n">
        <v>0.698</v>
      </c>
      <c r="C25" s="7" t="n">
        <v>0.5</v>
      </c>
      <c r="D25" s="7" t="n">
        <v>-0.12</v>
      </c>
    </row>
    <row r="26">
      <c r="A26" t="inlineStr">
        <is>
          <t>Qt &gt; 20 l/s</t>
        </is>
      </c>
      <c r="B26" s="7" t="n">
        <v>1</v>
      </c>
      <c r="C26" s="7" t="n">
        <v>0.366</v>
      </c>
      <c r="D26" s="7" t="n">
        <v>0</v>
      </c>
    </row>
    <row r="29">
      <c r="A29" s="8" t="inlineStr">
        <is>
          <t>Caudales instantáneos mínimos · CTE DB-HS4 Tabla 2.1</t>
        </is>
      </c>
    </row>
    <row r="30">
      <c r="A30" s="3" t="inlineStr">
        <is>
          <t>Aparato</t>
        </is>
      </c>
      <c r="B30" s="3" t="inlineStr">
        <is>
          <t>Q AF (l/s)</t>
        </is>
      </c>
      <c r="C30" s="3" t="inlineStr">
        <is>
          <t>Q ACS (l/s)</t>
        </is>
      </c>
      <c r="D30" s="3" t="inlineStr">
        <is>
          <t>Nota</t>
        </is>
      </c>
    </row>
    <row r="31">
      <c r="A31" s="4" t="inlineStr">
        <is>
          <t>Lavabo</t>
        </is>
      </c>
      <c r="B31" s="9" t="n">
        <v>0.1</v>
      </c>
      <c r="C31" s="9" t="n">
        <v>0.065</v>
      </c>
      <c r="D31" s="6" t="inlineStr"/>
    </row>
    <row r="32">
      <c r="A32" s="4" t="inlineStr">
        <is>
          <t>Ducha</t>
        </is>
      </c>
      <c r="B32" s="9" t="n">
        <v>0.2</v>
      </c>
      <c r="C32" s="9" t="n">
        <v>0.1</v>
      </c>
      <c r="D32" s="6" t="inlineStr"/>
    </row>
    <row r="33">
      <c r="A33" s="4" t="inlineStr">
        <is>
          <t>Bañera ≥ 1,40 m</t>
        </is>
      </c>
      <c r="B33" s="9" t="n">
        <v>0.3</v>
      </c>
      <c r="C33" s="9" t="n">
        <v>0.2</v>
      </c>
      <c r="D33" s="6" t="inlineStr">
        <is>
          <t>Bañeras del hotel ≈1,70 m (medido en DWG)</t>
        </is>
      </c>
    </row>
    <row r="34">
      <c r="A34" s="4" t="inlineStr">
        <is>
          <t>Bidé</t>
        </is>
      </c>
      <c r="B34" s="9" t="n">
        <v>0.1</v>
      </c>
      <c r="C34" s="9" t="n">
        <v>0.065</v>
      </c>
      <c r="D34" s="6" t="inlineStr"/>
    </row>
    <row r="35">
      <c r="A35" s="4" t="inlineStr">
        <is>
          <t>Inodoro con cisterna</t>
        </is>
      </c>
      <c r="B35" s="9" t="n">
        <v>0.1</v>
      </c>
      <c r="C35" s="9" t="n">
        <v>0</v>
      </c>
      <c r="D35" s="6" t="inlineStr"/>
    </row>
    <row r="36">
      <c r="A36" s="4" t="inlineStr">
        <is>
          <t>Urinario con cisterna</t>
        </is>
      </c>
      <c r="B36" s="9" t="n">
        <v>0.04</v>
      </c>
      <c r="C36" s="9" t="n">
        <v>0</v>
      </c>
      <c r="D36" s="6" t="inlineStr"/>
    </row>
    <row r="37">
      <c r="A37" s="4" t="inlineStr">
        <is>
          <t>Fregadero no doméstico</t>
        </is>
      </c>
      <c r="B37" s="9" t="n">
        <v>0.3</v>
      </c>
      <c r="C37" s="9" t="n">
        <v>0.2</v>
      </c>
      <c r="D37" s="6" t="inlineStr"/>
    </row>
    <row r="38">
      <c r="A38" s="4" t="inlineStr">
        <is>
          <t>Lavavajillas industrial (20 serv.)</t>
        </is>
      </c>
      <c r="B38" s="9" t="n">
        <v>0.25</v>
      </c>
      <c r="C38" s="9" t="n">
        <v>0.2</v>
      </c>
      <c r="D38" s="6" t="inlineStr">
        <is>
          <t>Bitérmico (enunciado cond. 15)</t>
        </is>
      </c>
    </row>
    <row r="39">
      <c r="A39" s="4" t="inlineStr">
        <is>
          <t>Vertedero</t>
        </is>
      </c>
      <c r="B39" s="9" t="n">
        <v>0.2</v>
      </c>
      <c r="C39" s="9" t="n">
        <v>0</v>
      </c>
      <c r="D39" s="6" t="inlineStr"/>
    </row>
    <row r="40">
      <c r="A40" s="4" t="inlineStr">
        <is>
          <t>Grifo garaje / limpieza</t>
        </is>
      </c>
      <c r="B40" s="9" t="n">
        <v>0.2</v>
      </c>
      <c r="C40" s="9" t="n">
        <v>0</v>
      </c>
      <c r="D40" s="6" t="inlineStr"/>
    </row>
    <row r="43">
      <c r="A43" s="8" t="inlineStr">
        <is>
          <t>Parámetros hidráulicos y cotas de cálculo</t>
        </is>
      </c>
      <c r="F43" s="8" t="inlineStr">
        <is>
          <t>Coeficientes K de elementos singulares (HIPÓTESIS hasta tener la tabla del profesor)</t>
        </is>
      </c>
    </row>
    <row r="44">
      <c r="A44" s="3" t="inlineStr">
        <is>
          <t>Parámetro</t>
        </is>
      </c>
      <c r="B44" s="3" t="inlineStr">
        <is>
          <t>Valor</t>
        </is>
      </c>
      <c r="C44" s="3" t="inlineStr">
        <is>
          <t>Unidad</t>
        </is>
      </c>
      <c r="D44" s="3" t="inlineStr">
        <is>
          <t>Fuente / nota</t>
        </is>
      </c>
      <c r="F44" s="3" t="inlineStr">
        <is>
          <t>Elemento</t>
        </is>
      </c>
      <c r="G44" s="3" t="inlineStr">
        <is>
          <t>K</t>
        </is>
      </c>
    </row>
    <row r="45">
      <c r="A45" s="4" t="inlineStr">
        <is>
          <t>Gravedad g</t>
        </is>
      </c>
      <c r="B45" s="5" t="n">
        <v>9.81</v>
      </c>
      <c r="C45" s="4" t="inlineStr">
        <is>
          <t>m/s²</t>
        </is>
      </c>
      <c r="D45" s="6" t="inlineStr"/>
      <c r="F45" s="4" t="inlineStr">
        <is>
          <t>Llave de corte / aislamiento (bola)</t>
        </is>
      </c>
      <c r="G45" s="7" t="n">
        <v>0.3</v>
      </c>
    </row>
    <row r="46">
      <c r="A46" s="4" t="inlineStr">
        <is>
          <t>Viscosidad cinemática AF (20 ºC)</t>
        </is>
      </c>
      <c r="B46" s="17" t="n">
        <v>1.004e-06</v>
      </c>
      <c r="C46" s="4" t="inlineStr">
        <is>
          <t>m²/s</t>
        </is>
      </c>
      <c r="D46" s="6" t="inlineStr">
        <is>
          <t>Propiedades del agua</t>
        </is>
      </c>
      <c r="F46" s="4" t="inlineStr">
        <is>
          <t>Válvula de retención</t>
        </is>
      </c>
      <c r="G46" s="7" t="n">
        <v>2.5</v>
      </c>
    </row>
    <row r="47">
      <c r="A47" s="4" t="inlineStr">
        <is>
          <t>Viscosidad cinemática ACS (60 ºC)</t>
        </is>
      </c>
      <c r="B47" s="17" t="n">
        <v>4.74e-07</v>
      </c>
      <c r="C47" s="4" t="inlineStr">
        <is>
          <t>m²/s</t>
        </is>
      </c>
      <c r="D47" s="6" t="inlineStr">
        <is>
          <t>Propiedades del agua</t>
        </is>
      </c>
      <c r="F47" s="4" t="inlineStr">
        <is>
          <t>Filtro</t>
        </is>
      </c>
      <c r="G47" s="7" t="n">
        <v>5</v>
      </c>
    </row>
    <row r="48">
      <c r="A48" s="4" t="inlineStr">
        <is>
          <t>Rugosidad absoluta tubos plásticos/multicapa ε</t>
        </is>
      </c>
      <c r="B48" s="18" t="n">
        <v>7e-06</v>
      </c>
      <c r="C48" s="4" t="inlineStr">
        <is>
          <t>m</t>
        </is>
      </c>
      <c r="D48" s="6" t="inlineStr">
        <is>
          <t>Valor típico tubería plástica</t>
        </is>
      </c>
      <c r="F48" s="4" t="inlineStr">
        <is>
          <t>Contador</t>
        </is>
      </c>
      <c r="G48" s="7" t="n">
        <v>10</v>
      </c>
    </row>
    <row r="49">
      <c r="A49" s="4" t="inlineStr">
        <is>
          <t>Cota de la red general (presión de red referida a calzada)</t>
        </is>
      </c>
      <c r="B49" s="5" t="n">
        <v>0</v>
      </c>
      <c r="C49" s="4" t="inlineStr">
        <is>
          <t>m</t>
        </is>
      </c>
      <c r="D49" s="6" t="inlineStr">
        <is>
          <t>Enunciado cond. 23</t>
        </is>
      </c>
      <c r="F49" s="4" t="inlineStr">
        <is>
          <t>Llave de escuadra en aparato</t>
        </is>
      </c>
      <c r="G49" s="7" t="n">
        <v>2</v>
      </c>
    </row>
    <row r="50">
      <c r="A50" s="4" t="inlineStr">
        <is>
          <t>Cota del calderín / colector del grupo de bombeo</t>
        </is>
      </c>
      <c r="B50" s="5" t="n">
        <v>-1.2</v>
      </c>
      <c r="C50" s="4" t="inlineStr">
        <is>
          <t>m</t>
        </is>
      </c>
      <c r="D50" s="6" t="inlineStr">
        <is>
          <t>Cuarto AF en sótano (solera −2,20)</t>
        </is>
      </c>
      <c r="F50" s="4" t="inlineStr">
        <is>
          <t>Acumulador ACS (entrada+salida)</t>
        </is>
      </c>
      <c r="G50" s="7" t="n">
        <v>3</v>
      </c>
    </row>
    <row r="51">
      <c r="A51" s="4" t="inlineStr">
        <is>
          <t>Cota mínima de lámina en aljibe (aspiración)</t>
        </is>
      </c>
      <c r="B51" s="5" t="n">
        <v>-2</v>
      </c>
      <c r="C51" s="4" t="inlineStr">
        <is>
          <t>m</t>
        </is>
      </c>
      <c r="D51" s="6" t="inlineStr">
        <is>
          <t>Solera sótano −2,20 + 0,20 resguardo</t>
        </is>
      </c>
      <c r="F51" s="4" t="inlineStr">
        <is>
          <t>Retención + llave base montante</t>
        </is>
      </c>
      <c r="G51" s="7" t="n">
        <v>2.8</v>
      </c>
    </row>
    <row r="52">
      <c r="A52" s="4" t="inlineStr">
        <is>
          <t>Cota válvula reductora ACS baja (cuarto ACS)</t>
        </is>
      </c>
      <c r="B52" s="5" t="n">
        <v>-1.2</v>
      </c>
      <c r="C52" s="4" t="inlineStr">
        <is>
          <t>m</t>
        </is>
      </c>
      <c r="D52" s="6" t="inlineStr">
        <is>
          <t>Cuarto ACS en sótano</t>
        </is>
      </c>
    </row>
    <row r="53">
      <c r="A53" s="4" t="inlineStr">
        <is>
          <t>Pérdidas en el propio grupo (aspiración + valvulería) estimadas</t>
        </is>
      </c>
      <c r="B53" s="7" t="n">
        <v>2</v>
      </c>
      <c r="C53" s="4" t="inlineStr">
        <is>
          <t>mca</t>
        </is>
      </c>
      <c r="D53" s="6" t="inlineStr">
        <is>
          <t>HIPÓTESIS: comprobar con modelo de bomba elegido</t>
        </is>
      </c>
    </row>
    <row r="54">
      <c r="A54" s="4" t="inlineStr">
        <is>
          <t>Rendimiento bomba</t>
        </is>
      </c>
      <c r="B54" s="5" t="n">
        <v>0.6</v>
      </c>
      <c r="C54" s="4" t="inlineStr"/>
      <c r="D54" s="6" t="inlineStr">
        <is>
          <t>Enunciado Anexo II</t>
        </is>
      </c>
    </row>
    <row r="55">
      <c r="A55" s="4" t="inlineStr">
        <is>
          <t>Rendimiento motor</t>
        </is>
      </c>
      <c r="B55" s="5" t="n">
        <v>0.9</v>
      </c>
      <c r="C55" s="4" t="inlineStr"/>
      <c r="D55" s="6" t="inlineStr">
        <is>
          <t>Enunciado Anexo II</t>
        </is>
      </c>
    </row>
    <row r="56">
      <c r="A56" s="4" t="inlineStr">
        <is>
          <t>Rendimiento variador</t>
        </is>
      </c>
      <c r="B56" s="5" t="n">
        <v>0.95</v>
      </c>
      <c r="C56" s="4" t="inlineStr"/>
      <c r="D56" s="6" t="inlineStr">
        <is>
          <t>Enunciado Anexo II</t>
        </is>
      </c>
    </row>
    <row r="57">
      <c r="A57" s="4" t="inlineStr">
        <is>
          <t>Volumen calderín BVV por estación</t>
        </is>
      </c>
      <c r="B57" s="5" t="n">
        <v>150</v>
      </c>
      <c r="C57" s="4" t="inlineStr">
        <is>
          <t>l</t>
        </is>
      </c>
      <c r="D57" s="6" t="inlineStr">
        <is>
          <t>Enunciado cond. 29</t>
        </is>
      </c>
    </row>
    <row r="58">
      <c r="A58" s="4" t="inlineStr">
        <is>
          <t>Tiempo de reserva aljibe</t>
        </is>
      </c>
      <c r="B58" s="5" t="n">
        <v>20</v>
      </c>
      <c r="C58" s="4" t="inlineStr">
        <is>
          <t>min</t>
        </is>
      </c>
      <c r="D58" s="6" t="inlineStr">
        <is>
          <t>CTE HS4 (15-20 min)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60" customWidth="1" min="15" max="15"/>
  </cols>
  <sheetData>
    <row r="1">
      <c r="A1" s="10" t="inlineStr">
        <is>
          <t>Aparatos por tipo de local (contados sobre el DWG HOTEL_Trabajo_2026-27)</t>
        </is>
      </c>
    </row>
    <row r="3" ht="45" customHeight="1">
      <c r="A3" s="3" t="inlineStr">
        <is>
          <t>Local</t>
        </is>
      </c>
      <c r="B3" s="3" t="inlineStr">
        <is>
          <t>Lavabo</t>
        </is>
      </c>
      <c r="C3" s="3" t="inlineStr">
        <is>
          <t>Ducha</t>
        </is>
      </c>
      <c r="D3" s="3" t="inlineStr">
        <is>
          <t>Bañera ≥ 1,40 m</t>
        </is>
      </c>
      <c r="E3" s="3" t="inlineStr">
        <is>
          <t>Bidé</t>
        </is>
      </c>
      <c r="F3" s="3" t="inlineStr">
        <is>
          <t>Inodoro con cisterna</t>
        </is>
      </c>
      <c r="G3" s="3" t="inlineStr">
        <is>
          <t>Urinario con cisterna</t>
        </is>
      </c>
      <c r="H3" s="3" t="inlineStr">
        <is>
          <t>Fregadero no doméstico</t>
        </is>
      </c>
      <c r="I3" s="3" t="inlineStr">
        <is>
          <t>Lavavajillas industrial (20 serv.)</t>
        </is>
      </c>
      <c r="J3" s="3" t="inlineStr">
        <is>
          <t>Vertedero</t>
        </is>
      </c>
      <c r="K3" s="3" t="inlineStr">
        <is>
          <t>Grifo garaje / limpieza</t>
        </is>
      </c>
      <c r="L3" s="3" t="inlineStr">
        <is>
          <t>Qt AF (l/s)</t>
        </is>
      </c>
      <c r="M3" s="3" t="inlineStr">
        <is>
          <t>Qt ACS (l/s)</t>
        </is>
      </c>
      <c r="N3" s="3" t="inlineStr">
        <is>
          <t>Qt AF+ACS (l/s)</t>
        </is>
      </c>
      <c r="O3" s="3" t="inlineStr">
        <is>
          <t>Observaciones</t>
        </is>
      </c>
    </row>
    <row r="4">
      <c r="A4" s="4" t="inlineStr">
        <is>
          <t>Habitación estándar</t>
        </is>
      </c>
      <c r="B4" s="5" t="n">
        <v>1</v>
      </c>
      <c r="C4" s="5" t="n">
        <v>0</v>
      </c>
      <c r="D4" s="5" t="n">
        <v>1</v>
      </c>
      <c r="E4" s="5" t="n">
        <v>1</v>
      </c>
      <c r="F4" s="5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11">
        <f>B4*Datos!$B$31+C4*Datos!$B$32+D4*Datos!$B$33+E4*Datos!$B$34+F4*Datos!$B$35+G4*Datos!$B$36+H4*Datos!$B$37+I4*Datos!$B$38+J4*Datos!$B$39+K4*Datos!$B$40</f>
        <v/>
      </c>
      <c r="M4" s="11">
        <f>B4*Datos!$C$31+C4*Datos!$C$32+D4*Datos!$C$33+E4*Datos!$C$34+F4*Datos!$C$35+G4*Datos!$C$36+H4*Datos!$C$37+I4*Datos!$C$38+J4*Datos!$C$39+K4*Datos!$C$40</f>
        <v/>
      </c>
      <c r="N4" s="11">
        <f>L4+M4</f>
        <v/>
      </c>
      <c r="O4" s="6" t="inlineStr">
        <is>
          <t>24 por planta tipo, 5 en PB</t>
        </is>
      </c>
    </row>
    <row r="5">
      <c r="A5" s="4" t="inlineStr">
        <is>
          <t>Habitación adaptada</t>
        </is>
      </c>
      <c r="B5" s="5" t="n">
        <v>1</v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11">
        <f>B5*Datos!$B$31+C5*Datos!$B$32+D5*Datos!$B$33+E5*Datos!$B$34+F5*Datos!$B$35+G5*Datos!$B$36+H5*Datos!$B$37+I5*Datos!$B$38+J5*Datos!$B$39+K5*Datos!$B$40</f>
        <v/>
      </c>
      <c r="M5" s="11">
        <f>B5*Datos!$C$31+C5*Datos!$C$32+D5*Datos!$C$33+E5*Datos!$C$34+F5*Datos!$C$35+G5*Datos!$C$36+H5*Datos!$C$37+I5*Datos!$C$38+J5*Datos!$C$39+K5*Datos!$C$40</f>
        <v/>
      </c>
      <c r="N5" s="11">
        <f>L5+M5</f>
        <v/>
      </c>
      <c r="O5" s="6" t="inlineStr">
        <is>
          <t>Ducha a ras de suelo con sumidero. 2 por planta tipo, 2 en PB (004, 006)</t>
        </is>
      </c>
    </row>
    <row r="6">
      <c r="A6" s="4" t="inlineStr">
        <is>
          <t>Oficio de planta (21)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</v>
      </c>
      <c r="I6" s="5" t="n">
        <v>0</v>
      </c>
      <c r="J6" s="5" t="n">
        <v>1</v>
      </c>
      <c r="K6" s="5" t="n">
        <v>0</v>
      </c>
      <c r="L6" s="11">
        <f>B6*Datos!$B$31+C6*Datos!$B$32+D6*Datos!$B$33+E6*Datos!$B$34+F6*Datos!$B$35+G6*Datos!$B$36+H6*Datos!$B$37+I6*Datos!$B$38+J6*Datos!$B$39+K6*Datos!$B$40</f>
        <v/>
      </c>
      <c r="M6" s="11">
        <f>B6*Datos!$C$31+C6*Datos!$C$32+D6*Datos!$C$33+E6*Datos!$C$34+F6*Datos!$C$35+G6*Datos!$C$36+H6*Datos!$C$37+I6*Datos!$C$38+J6*Datos!$C$39+K6*Datos!$C$40</f>
        <v/>
      </c>
      <c r="N6" s="11">
        <f>L6+M6</f>
        <v/>
      </c>
      <c r="O6" s="6" t="inlineStr">
        <is>
          <t>Leyenda: fregadero + vertedero</t>
        </is>
      </c>
    </row>
    <row r="7">
      <c r="A7" s="4" t="inlineStr">
        <is>
          <t>Aseo público hombres (8)</t>
        </is>
      </c>
      <c r="B7" s="5" t="n">
        <v>2</v>
      </c>
      <c r="C7" s="5" t="n">
        <v>0</v>
      </c>
      <c r="D7" s="5" t="n">
        <v>0</v>
      </c>
      <c r="E7" s="5" t="n">
        <v>0</v>
      </c>
      <c r="F7" s="5" t="n">
        <v>2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11">
        <f>B7*Datos!$B$31+C7*Datos!$B$32+D7*Datos!$B$33+E7*Datos!$B$34+F7*Datos!$B$35+G7*Datos!$B$36+H7*Datos!$B$37+I7*Datos!$B$38+J7*Datos!$B$39+K7*Datos!$B$40</f>
        <v/>
      </c>
      <c r="M7" s="11">
        <f>B7*Datos!$C$31+C7*Datos!$C$32+D7*Datos!$C$33+E7*Datos!$C$34+F7*Datos!$C$35+G7*Datos!$C$36+H7*Datos!$C$37+I7*Datos!$C$38+J7*Datos!$C$39+K7*Datos!$C$40</f>
        <v/>
      </c>
      <c r="N7" s="11">
        <f>L7+M7</f>
        <v/>
      </c>
      <c r="O7" s="6" t="inlineStr">
        <is>
          <t>2 urinarios dibujados en el aseo derecho</t>
        </is>
      </c>
    </row>
    <row r="8">
      <c r="A8" s="4" t="inlineStr">
        <is>
          <t>Aseo público mujeres (8)</t>
        </is>
      </c>
      <c r="B8" s="5" t="n">
        <v>2</v>
      </c>
      <c r="C8" s="5" t="n">
        <v>0</v>
      </c>
      <c r="D8" s="5" t="n">
        <v>0</v>
      </c>
      <c r="E8" s="5" t="n">
        <v>0</v>
      </c>
      <c r="F8" s="5" t="n">
        <v>2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11">
        <f>B8*Datos!$B$31+C8*Datos!$B$32+D8*Datos!$B$33+E8*Datos!$B$34+F8*Datos!$B$35+G8*Datos!$B$36+H8*Datos!$B$37+I8*Datos!$B$38+J8*Datos!$B$39+K8*Datos!$B$40</f>
        <v/>
      </c>
      <c r="M8" s="11">
        <f>B8*Datos!$C$31+C8*Datos!$C$32+D8*Datos!$C$33+E8*Datos!$C$34+F8*Datos!$C$35+G8*Datos!$C$36+H8*Datos!$C$37+I8*Datos!$C$38+J8*Datos!$C$39+K8*Datos!$C$40</f>
        <v/>
      </c>
      <c r="N8" s="11">
        <f>L8+M8</f>
        <v/>
      </c>
      <c r="O8" s="6" t="inlineStr"/>
    </row>
    <row r="9">
      <c r="A9" s="4" t="inlineStr">
        <is>
          <t>Vestuario hombres (23)</t>
        </is>
      </c>
      <c r="B9" s="5" t="n">
        <v>2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11">
        <f>B9*Datos!$B$31+C9*Datos!$B$32+D9*Datos!$B$33+E9*Datos!$B$34+F9*Datos!$B$35+G9*Datos!$B$36+H9*Datos!$B$37+I9*Datos!$B$38+J9*Datos!$B$39+K9*Datos!$B$40</f>
        <v/>
      </c>
      <c r="M9" s="11">
        <f>B9*Datos!$C$31+C9*Datos!$C$32+D9*Datos!$C$33+E9*Datos!$C$34+F9*Datos!$C$35+G9*Datos!$C$36+H9*Datos!$C$37+I9*Datos!$C$38+J9*Datos!$C$39+K9*Datos!$C$40</f>
        <v/>
      </c>
      <c r="N9" s="11">
        <f>L9+M9</f>
        <v/>
      </c>
      <c r="O9" s="6" t="inlineStr">
        <is>
          <t>Leyenda: inodoro + ducha + lavabos</t>
        </is>
      </c>
    </row>
    <row r="10">
      <c r="A10" s="4" t="inlineStr">
        <is>
          <t>Vestuario mujeres (23)</t>
        </is>
      </c>
      <c r="B10" s="5" t="n">
        <v>2</v>
      </c>
      <c r="C10" s="5" t="n">
        <v>1</v>
      </c>
      <c r="D10" s="5" t="n">
        <v>0</v>
      </c>
      <c r="E10" s="5" t="n">
        <v>0</v>
      </c>
      <c r="F10" s="5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11">
        <f>B10*Datos!$B$31+C10*Datos!$B$32+D10*Datos!$B$33+E10*Datos!$B$34+F10*Datos!$B$35+G10*Datos!$B$36+H10*Datos!$B$37+I10*Datos!$B$38+J10*Datos!$B$39+K10*Datos!$B$40</f>
        <v/>
      </c>
      <c r="M10" s="11">
        <f>B10*Datos!$C$31+C10*Datos!$C$32+D10*Datos!$C$33+E10*Datos!$C$34+F10*Datos!$C$35+G10*Datos!$C$36+H10*Datos!$C$37+I10*Datos!$C$38+J10*Datos!$C$39+K10*Datos!$C$40</f>
        <v/>
      </c>
      <c r="N10" s="11">
        <f>L10+M10</f>
        <v/>
      </c>
      <c r="O10" s="6" t="inlineStr"/>
    </row>
    <row r="11">
      <c r="A11" s="4" t="inlineStr">
        <is>
          <t>Barra (4)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11">
        <f>B11*Datos!$B$31+C11*Datos!$B$32+D11*Datos!$B$33+E11*Datos!$B$34+F11*Datos!$B$35+G11*Datos!$B$36+H11*Datos!$B$37+I11*Datos!$B$38+J11*Datos!$B$39+K11*Datos!$B$40</f>
        <v/>
      </c>
      <c r="M11" s="11">
        <f>B11*Datos!$C$31+C11*Datos!$C$32+D11*Datos!$C$33+E11*Datos!$C$34+F11*Datos!$C$35+G11*Datos!$C$36+H11*Datos!$C$37+I11*Datos!$C$38+J11*Datos!$C$39+K11*Datos!$C$40</f>
        <v/>
      </c>
      <c r="N11" s="11">
        <f>L11+M11</f>
        <v/>
      </c>
      <c r="O11" s="6" t="inlineStr">
        <is>
          <t>Leyenda: fregadero + lavavajillas</t>
        </is>
      </c>
    </row>
    <row r="12">
      <c r="A12" s="4" t="inlineStr">
        <is>
          <t>Cocina (15)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1</v>
      </c>
      <c r="I12" s="5" t="n">
        <v>2</v>
      </c>
      <c r="J12" s="5" t="n">
        <v>0</v>
      </c>
      <c r="K12" s="5" t="n">
        <v>0</v>
      </c>
      <c r="L12" s="11">
        <f>B12*Datos!$B$31+C12*Datos!$B$32+D12*Datos!$B$33+E12*Datos!$B$34+F12*Datos!$B$35+G12*Datos!$B$36+H12*Datos!$B$37+I12*Datos!$B$38+J12*Datos!$B$39+K12*Datos!$B$40</f>
        <v/>
      </c>
      <c r="M12" s="11">
        <f>B12*Datos!$C$31+C12*Datos!$C$32+D12*Datos!$C$33+E12*Datos!$C$34+F12*Datos!$C$35+G12*Datos!$C$36+H12*Datos!$C$37+I12*Datos!$C$38+J12*Datos!$C$39+K12*Datos!$C$40</f>
        <v/>
      </c>
      <c r="N12" s="11">
        <f>L12+M12</f>
        <v/>
      </c>
      <c r="O12" s="6" t="inlineStr">
        <is>
          <t>Leyenda: 2 lavavajillas + fregadero</t>
        </is>
      </c>
    </row>
    <row r="13">
      <c r="A13" s="4" t="inlineStr">
        <is>
          <t>Cuarto frío (17)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11">
        <f>B13*Datos!$B$31+C13*Datos!$B$32+D13*Datos!$B$33+E13*Datos!$B$34+F13*Datos!$B$35+G13*Datos!$B$36+H13*Datos!$B$37+I13*Datos!$B$38+J13*Datos!$B$39+K13*Datos!$B$40</f>
        <v/>
      </c>
      <c r="M13" s="11">
        <f>B13*Datos!$C$31+C13*Datos!$C$32+D13*Datos!$C$33+E13*Datos!$C$34+F13*Datos!$C$35+G13*Datos!$C$36+H13*Datos!$C$37+I13*Datos!$C$38+J13*Datos!$C$39+K13*Datos!$C$40</f>
        <v/>
      </c>
      <c r="N13" s="11">
        <f>L13+M13</f>
        <v/>
      </c>
      <c r="O13" s="6" t="inlineStr">
        <is>
          <t>Leyenda: fregadero</t>
        </is>
      </c>
    </row>
    <row r="14">
      <c r="A14" s="4" t="inlineStr">
        <is>
          <t>Cuarto de basuras (19)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1</v>
      </c>
      <c r="L14" s="11">
        <f>B14*Datos!$B$31+C14*Datos!$B$32+D14*Datos!$B$33+E14*Datos!$B$34+F14*Datos!$B$35+G14*Datos!$B$36+H14*Datos!$B$37+I14*Datos!$B$38+J14*Datos!$B$39+K14*Datos!$B$40</f>
        <v/>
      </c>
      <c r="M14" s="11">
        <f>B14*Datos!$C$31+C14*Datos!$C$32+D14*Datos!$C$33+E14*Datos!$C$34+F14*Datos!$C$35+G14*Datos!$C$36+H14*Datos!$C$37+I14*Datos!$C$38+J14*Datos!$C$39+K14*Datos!$C$40</f>
        <v/>
      </c>
      <c r="N14" s="11">
        <f>L14+M14</f>
        <v/>
      </c>
      <c r="O14" s="6" t="inlineStr">
        <is>
          <t>HIPÓTESIS: grifo de limpieza (no dibujado)</t>
        </is>
      </c>
    </row>
    <row r="15">
      <c r="A15" s="4" t="inlineStr">
        <is>
          <t>Garaje sótano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</v>
      </c>
      <c r="L15" s="11">
        <f>B15*Datos!$B$31+C15*Datos!$B$32+D15*Datos!$B$33+E15*Datos!$B$34+F15*Datos!$B$35+G15*Datos!$B$36+H15*Datos!$B$37+I15*Datos!$B$38+J15*Datos!$B$39+K15*Datos!$B$40</f>
        <v/>
      </c>
      <c r="M15" s="11">
        <f>B15*Datos!$C$31+C15*Datos!$C$32+D15*Datos!$C$33+E15*Datos!$C$34+F15*Datos!$C$35+G15*Datos!$C$36+H15*Datos!$C$37+I15*Datos!$C$38+J15*Datos!$C$39+K15*Datos!$C$40</f>
        <v/>
      </c>
      <c r="N15" s="11">
        <f>L15+M15</f>
        <v/>
      </c>
      <c r="O15" s="6" t="inlineStr">
        <is>
          <t>HIPÓTESIS: grifo de limpieza (cond. 21: recogida de aguas en sótano)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0" t="inlineStr">
        <is>
          <t>Inventario por planta, caudales y simultaneidad (UNE 149201)</t>
        </is>
      </c>
    </row>
    <row r="3" ht="60" customHeight="1">
      <c r="A3" s="3" t="inlineStr">
        <is>
          <t>Planta</t>
        </is>
      </c>
      <c r="B3" s="3" t="inlineStr">
        <is>
          <t>Nº</t>
        </is>
      </c>
      <c r="C3" s="3" t="inlineStr">
        <is>
          <t>Habitación estándar</t>
        </is>
      </c>
      <c r="D3" s="3" t="inlineStr">
        <is>
          <t>Habitación adaptada</t>
        </is>
      </c>
      <c r="E3" s="3" t="inlineStr">
        <is>
          <t>Oficio de planta (21)</t>
        </is>
      </c>
      <c r="F3" s="3" t="inlineStr">
        <is>
          <t>Aseo público hombres (8)</t>
        </is>
      </c>
      <c r="G3" s="3" t="inlineStr">
        <is>
          <t>Aseo público mujeres (8)</t>
        </is>
      </c>
      <c r="H3" s="3" t="inlineStr">
        <is>
          <t>Vestuario hombres (23)</t>
        </is>
      </c>
      <c r="I3" s="3" t="inlineStr">
        <is>
          <t>Vestuario mujeres (23)</t>
        </is>
      </c>
      <c r="J3" s="3" t="inlineStr">
        <is>
          <t>Barra (4)</t>
        </is>
      </c>
      <c r="K3" s="3" t="inlineStr">
        <is>
          <t>Cocina (15)</t>
        </is>
      </c>
      <c r="L3" s="3" t="inlineStr">
        <is>
          <t>Cuarto frío (17)</t>
        </is>
      </c>
      <c r="M3" s="3" t="inlineStr">
        <is>
          <t>Cuarto de basuras (19)</t>
        </is>
      </c>
      <c r="N3" s="3" t="inlineStr">
        <is>
          <t>Garaje sótano</t>
        </is>
      </c>
      <c r="O3" s="3" t="inlineStr">
        <is>
          <t>Cota solera (m)</t>
        </is>
      </c>
      <c r="P3" s="3" t="inlineStr">
        <is>
          <t>Cota grifo (m)</t>
        </is>
      </c>
      <c r="Q3" s="3" t="inlineStr">
        <is>
          <t>Qt AF (l/s)</t>
        </is>
      </c>
      <c r="R3" s="3" t="inlineStr">
        <is>
          <t>Qt ACS (l/s)</t>
        </is>
      </c>
      <c r="S3" s="3" t="inlineStr">
        <is>
          <t>Qt AF+ACS (l/s)</t>
        </is>
      </c>
      <c r="T3" s="3" t="inlineStr">
        <is>
          <t>Qc AF planta (l/s)</t>
        </is>
      </c>
      <c r="U3" s="3" t="inlineStr">
        <is>
          <t>Qc ACS planta (l/s)</t>
        </is>
      </c>
      <c r="V3" s="3" t="inlineStr">
        <is>
          <t>Qt AF acumulado desde cubierta</t>
        </is>
      </c>
      <c r="W3" s="3" t="inlineStr">
        <is>
          <t>Qc AF acumulado (montante) (l/s)</t>
        </is>
      </c>
    </row>
    <row r="4">
      <c r="A4" s="4" t="inlineStr">
        <is>
          <t>Sótano</t>
        </is>
      </c>
      <c r="B4" s="5" t="n">
        <v>-1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</v>
      </c>
      <c r="O4" s="12">
        <f>Datos!$B$16</f>
        <v/>
      </c>
      <c r="P4" s="13">
        <f>O4+Datos!$B$15</f>
        <v/>
      </c>
      <c r="Q4" s="13">
        <f>C4*Locales!$L$4+D4*Locales!$L$5+E4*Locales!$L$6+F4*Locales!$L$7+G4*Locales!$L$8+H4*Locales!$L$9+I4*Locales!$L$10+J4*Locales!$L$11+K4*Locales!$L$12+L4*Locales!$L$13+M4*Locales!$L$14+N4*Locales!$L$15</f>
        <v/>
      </c>
      <c r="R4" s="13">
        <f>C4*Locales!$M$4+D4*Locales!$M$5+E4*Locales!$M$6+F4*Locales!$M$7+G4*Locales!$M$8+H4*Locales!$M$9+I4*Locales!$M$10+J4*Locales!$M$11+K4*Locales!$M$12+L4*Locales!$M$13+M4*Locales!$M$14+N4*Locales!$M$15</f>
        <v/>
      </c>
      <c r="S4" s="13">
        <f>Q4+R4</f>
        <v/>
      </c>
      <c r="T4" s="13">
        <f>IF(Q4&lt;=0,0,MIN(Q4,IF(Q4&lt;=20,Datos!$B$25*Q4^Datos!$C$25+Datos!$D$25,Datos!$B$26*Q4^Datos!$C$26+Datos!$D$26)))</f>
        <v/>
      </c>
      <c r="U4" s="13">
        <f>IF(R4&lt;=0,0,MIN(R4,IF(R4&lt;=20,Datos!$B$25*R4^Datos!$C$25+Datos!$D$25,Datos!$B$26*R4^Datos!$C$26+Datos!$D$26)))</f>
        <v/>
      </c>
      <c r="V4" s="13">
        <f>SUM(Q4:Q$16)</f>
        <v/>
      </c>
      <c r="W4" s="13">
        <f>IF(V4&lt;=0,0,MIN(V4,IF(V4&lt;=20,Datos!$B$25*V4^Datos!$C$25+Datos!$D$25,Datos!$B$26*V4^Datos!$C$26+Datos!$D$26)))</f>
        <v/>
      </c>
    </row>
    <row r="5">
      <c r="A5" s="4" t="inlineStr">
        <is>
          <t>Planta baja</t>
        </is>
      </c>
      <c r="B5" s="5" t="n">
        <v>0</v>
      </c>
      <c r="C5" s="5" t="n">
        <v>5</v>
      </c>
      <c r="D5" s="5" t="n">
        <v>2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0</v>
      </c>
      <c r="O5" s="12">
        <f>Datos!$B$12</f>
        <v/>
      </c>
      <c r="P5" s="13">
        <f>O5+Datos!$B$15</f>
        <v/>
      </c>
      <c r="Q5" s="13">
        <f>C5*Locales!$L$4+D5*Locales!$L$5+E5*Locales!$L$6+F5*Locales!$L$7+G5*Locales!$L$8+H5*Locales!$L$9+I5*Locales!$L$10+J5*Locales!$L$11+K5*Locales!$L$12+L5*Locales!$L$13+M5*Locales!$L$14+N5*Locales!$L$15</f>
        <v/>
      </c>
      <c r="R5" s="13">
        <f>C5*Locales!$M$4+D5*Locales!$M$5+E5*Locales!$M$6+F5*Locales!$M$7+G5*Locales!$M$8+H5*Locales!$M$9+I5*Locales!$M$10+J5*Locales!$M$11+K5*Locales!$M$12+L5*Locales!$M$13+M5*Locales!$M$14+N5*Locales!$M$15</f>
        <v/>
      </c>
      <c r="S5" s="13">
        <f>Q5+R5</f>
        <v/>
      </c>
      <c r="T5" s="13">
        <f>IF(Q5&lt;=0,0,MIN(Q5,IF(Q5&lt;=20,Datos!$B$25*Q5^Datos!$C$25+Datos!$D$25,Datos!$B$26*Q5^Datos!$C$26+Datos!$D$26)))</f>
        <v/>
      </c>
      <c r="U5" s="13">
        <f>IF(R5&lt;=0,0,MIN(R5,IF(R5&lt;=20,Datos!$B$25*R5^Datos!$C$25+Datos!$D$25,Datos!$B$26*R5^Datos!$C$26+Datos!$D$26)))</f>
        <v/>
      </c>
      <c r="V5" s="13">
        <f>SUM(Q5:Q$16)</f>
        <v/>
      </c>
      <c r="W5" s="13">
        <f>IF(V5&lt;=0,0,MIN(V5,IF(V5&lt;=20,Datos!$B$25*V5^Datos!$C$25+Datos!$D$25,Datos!$B$26*V5^Datos!$C$26+Datos!$D$26)))</f>
        <v/>
      </c>
    </row>
    <row r="6">
      <c r="A6" s="4" t="inlineStr">
        <is>
          <t>Planta 1</t>
        </is>
      </c>
      <c r="B6" s="5" t="n">
        <v>1</v>
      </c>
      <c r="C6" s="5" t="n">
        <v>24</v>
      </c>
      <c r="D6" s="5" t="n">
        <v>2</v>
      </c>
      <c r="E6" s="5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13">
        <f>Datos!$B$12+Datos!$B$13+(B6-1)*Datos!$B$14</f>
        <v/>
      </c>
      <c r="P6" s="13">
        <f>O6+Datos!$B$15</f>
        <v/>
      </c>
      <c r="Q6" s="13">
        <f>C6*Locales!$L$4+D6*Locales!$L$5+E6*Locales!$L$6+F6*Locales!$L$7+G6*Locales!$L$8+H6*Locales!$L$9+I6*Locales!$L$10+J6*Locales!$L$11+K6*Locales!$L$12+L6*Locales!$L$13+M6*Locales!$L$14+N6*Locales!$L$15</f>
        <v/>
      </c>
      <c r="R6" s="13">
        <f>C6*Locales!$M$4+D6*Locales!$M$5+E6*Locales!$M$6+F6*Locales!$M$7+G6*Locales!$M$8+H6*Locales!$M$9+I6*Locales!$M$10+J6*Locales!$M$11+K6*Locales!$M$12+L6*Locales!$M$13+M6*Locales!$M$14+N6*Locales!$M$15</f>
        <v/>
      </c>
      <c r="S6" s="13">
        <f>Q6+R6</f>
        <v/>
      </c>
      <c r="T6" s="13">
        <f>IF(Q6&lt;=0,0,MIN(Q6,IF(Q6&lt;=20,Datos!$B$25*Q6^Datos!$C$25+Datos!$D$25,Datos!$B$26*Q6^Datos!$C$26+Datos!$D$26)))</f>
        <v/>
      </c>
      <c r="U6" s="13">
        <f>IF(R6&lt;=0,0,MIN(R6,IF(R6&lt;=20,Datos!$B$25*R6^Datos!$C$25+Datos!$D$25,Datos!$B$26*R6^Datos!$C$26+Datos!$D$26)))</f>
        <v/>
      </c>
      <c r="V6" s="13">
        <f>SUM(Q6:Q$16)</f>
        <v/>
      </c>
      <c r="W6" s="13">
        <f>IF(V6&lt;=0,0,MIN(V6,IF(V6&lt;=20,Datos!$B$25*V6^Datos!$C$25+Datos!$D$25,Datos!$B$26*V6^Datos!$C$26+Datos!$D$26)))</f>
        <v/>
      </c>
    </row>
    <row r="7">
      <c r="A7" s="4" t="inlineStr">
        <is>
          <t>Planta 2</t>
        </is>
      </c>
      <c r="B7" s="5" t="n">
        <v>2</v>
      </c>
      <c r="C7" s="5" t="n">
        <v>24</v>
      </c>
      <c r="D7" s="5" t="n">
        <v>2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13">
        <f>Datos!$B$12+Datos!$B$13+(B7-1)*Datos!$B$14</f>
        <v/>
      </c>
      <c r="P7" s="13">
        <f>O7+Datos!$B$15</f>
        <v/>
      </c>
      <c r="Q7" s="13">
        <f>C7*Locales!$L$4+D7*Locales!$L$5+E7*Locales!$L$6+F7*Locales!$L$7+G7*Locales!$L$8+H7*Locales!$L$9+I7*Locales!$L$10+J7*Locales!$L$11+K7*Locales!$L$12+L7*Locales!$L$13+M7*Locales!$L$14+N7*Locales!$L$15</f>
        <v/>
      </c>
      <c r="R7" s="13">
        <f>C7*Locales!$M$4+D7*Locales!$M$5+E7*Locales!$M$6+F7*Locales!$M$7+G7*Locales!$M$8+H7*Locales!$M$9+I7*Locales!$M$10+J7*Locales!$M$11+K7*Locales!$M$12+L7*Locales!$M$13+M7*Locales!$M$14+N7*Locales!$M$15</f>
        <v/>
      </c>
      <c r="S7" s="13">
        <f>Q7+R7</f>
        <v/>
      </c>
      <c r="T7" s="13">
        <f>IF(Q7&lt;=0,0,MIN(Q7,IF(Q7&lt;=20,Datos!$B$25*Q7^Datos!$C$25+Datos!$D$25,Datos!$B$26*Q7^Datos!$C$26+Datos!$D$26)))</f>
        <v/>
      </c>
      <c r="U7" s="13">
        <f>IF(R7&lt;=0,0,MIN(R7,IF(R7&lt;=20,Datos!$B$25*R7^Datos!$C$25+Datos!$D$25,Datos!$B$26*R7^Datos!$C$26+Datos!$D$26)))</f>
        <v/>
      </c>
      <c r="V7" s="13">
        <f>SUM(Q7:Q$16)</f>
        <v/>
      </c>
      <c r="W7" s="13">
        <f>IF(V7&lt;=0,0,MIN(V7,IF(V7&lt;=20,Datos!$B$25*V7^Datos!$C$25+Datos!$D$25,Datos!$B$26*V7^Datos!$C$26+Datos!$D$26)))</f>
        <v/>
      </c>
    </row>
    <row r="8">
      <c r="A8" s="4" t="inlineStr">
        <is>
          <t>Planta 3</t>
        </is>
      </c>
      <c r="B8" s="5" t="n">
        <v>3</v>
      </c>
      <c r="C8" s="5" t="n">
        <v>24</v>
      </c>
      <c r="D8" s="5" t="n">
        <v>2</v>
      </c>
      <c r="E8" s="5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13">
        <f>Datos!$B$12+Datos!$B$13+(B8-1)*Datos!$B$14</f>
        <v/>
      </c>
      <c r="P8" s="13">
        <f>O8+Datos!$B$15</f>
        <v/>
      </c>
      <c r="Q8" s="13">
        <f>C8*Locales!$L$4+D8*Locales!$L$5+E8*Locales!$L$6+F8*Locales!$L$7+G8*Locales!$L$8+H8*Locales!$L$9+I8*Locales!$L$10+J8*Locales!$L$11+K8*Locales!$L$12+L8*Locales!$L$13+M8*Locales!$L$14+N8*Locales!$L$15</f>
        <v/>
      </c>
      <c r="R8" s="13">
        <f>C8*Locales!$M$4+D8*Locales!$M$5+E8*Locales!$M$6+F8*Locales!$M$7+G8*Locales!$M$8+H8*Locales!$M$9+I8*Locales!$M$10+J8*Locales!$M$11+K8*Locales!$M$12+L8*Locales!$M$13+M8*Locales!$M$14+N8*Locales!$M$15</f>
        <v/>
      </c>
      <c r="S8" s="13">
        <f>Q8+R8</f>
        <v/>
      </c>
      <c r="T8" s="13">
        <f>IF(Q8&lt;=0,0,MIN(Q8,IF(Q8&lt;=20,Datos!$B$25*Q8^Datos!$C$25+Datos!$D$25,Datos!$B$26*Q8^Datos!$C$26+Datos!$D$26)))</f>
        <v/>
      </c>
      <c r="U8" s="13">
        <f>IF(R8&lt;=0,0,MIN(R8,IF(R8&lt;=20,Datos!$B$25*R8^Datos!$C$25+Datos!$D$25,Datos!$B$26*R8^Datos!$C$26+Datos!$D$26)))</f>
        <v/>
      </c>
      <c r="V8" s="13">
        <f>SUM(Q8:Q$16)</f>
        <v/>
      </c>
      <c r="W8" s="13">
        <f>IF(V8&lt;=0,0,MIN(V8,IF(V8&lt;=20,Datos!$B$25*V8^Datos!$C$25+Datos!$D$25,Datos!$B$26*V8^Datos!$C$26+Datos!$D$26)))</f>
        <v/>
      </c>
    </row>
    <row r="9">
      <c r="A9" s="4" t="inlineStr">
        <is>
          <t>Planta 4</t>
        </is>
      </c>
      <c r="B9" s="5" t="n">
        <v>4</v>
      </c>
      <c r="C9" s="5" t="n">
        <v>24</v>
      </c>
      <c r="D9" s="5" t="n">
        <v>2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13">
        <f>Datos!$B$12+Datos!$B$13+(B9-1)*Datos!$B$14</f>
        <v/>
      </c>
      <c r="P9" s="13">
        <f>O9+Datos!$B$15</f>
        <v/>
      </c>
      <c r="Q9" s="13">
        <f>C9*Locales!$L$4+D9*Locales!$L$5+E9*Locales!$L$6+F9*Locales!$L$7+G9*Locales!$L$8+H9*Locales!$L$9+I9*Locales!$L$10+J9*Locales!$L$11+K9*Locales!$L$12+L9*Locales!$L$13+M9*Locales!$L$14+N9*Locales!$L$15</f>
        <v/>
      </c>
      <c r="R9" s="13">
        <f>C9*Locales!$M$4+D9*Locales!$M$5+E9*Locales!$M$6+F9*Locales!$M$7+G9*Locales!$M$8+H9*Locales!$M$9+I9*Locales!$M$10+J9*Locales!$M$11+K9*Locales!$M$12+L9*Locales!$M$13+M9*Locales!$M$14+N9*Locales!$M$15</f>
        <v/>
      </c>
      <c r="S9" s="13">
        <f>Q9+R9</f>
        <v/>
      </c>
      <c r="T9" s="13">
        <f>IF(Q9&lt;=0,0,MIN(Q9,IF(Q9&lt;=20,Datos!$B$25*Q9^Datos!$C$25+Datos!$D$25,Datos!$B$26*Q9^Datos!$C$26+Datos!$D$26)))</f>
        <v/>
      </c>
      <c r="U9" s="13">
        <f>IF(R9&lt;=0,0,MIN(R9,IF(R9&lt;=20,Datos!$B$25*R9^Datos!$C$25+Datos!$D$25,Datos!$B$26*R9^Datos!$C$26+Datos!$D$26)))</f>
        <v/>
      </c>
      <c r="V9" s="13">
        <f>SUM(Q9:Q$16)</f>
        <v/>
      </c>
      <c r="W9" s="13">
        <f>IF(V9&lt;=0,0,MIN(V9,IF(V9&lt;=20,Datos!$B$25*V9^Datos!$C$25+Datos!$D$25,Datos!$B$26*V9^Datos!$C$26+Datos!$D$26)))</f>
        <v/>
      </c>
    </row>
    <row r="10">
      <c r="A10" s="4" t="inlineStr">
        <is>
          <t>Planta 5</t>
        </is>
      </c>
      <c r="B10" s="5" t="n">
        <v>5</v>
      </c>
      <c r="C10" s="5" t="n">
        <v>24</v>
      </c>
      <c r="D10" s="5" t="n">
        <v>2</v>
      </c>
      <c r="E10" s="5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13">
        <f>Datos!$B$12+Datos!$B$13+(B10-1)*Datos!$B$14</f>
        <v/>
      </c>
      <c r="P10" s="13">
        <f>O10+Datos!$B$15</f>
        <v/>
      </c>
      <c r="Q10" s="13">
        <f>C10*Locales!$L$4+D10*Locales!$L$5+E10*Locales!$L$6+F10*Locales!$L$7+G10*Locales!$L$8+H10*Locales!$L$9+I10*Locales!$L$10+J10*Locales!$L$11+K10*Locales!$L$12+L10*Locales!$L$13+M10*Locales!$L$14+N10*Locales!$L$15</f>
        <v/>
      </c>
      <c r="R10" s="13">
        <f>C10*Locales!$M$4+D10*Locales!$M$5+E10*Locales!$M$6+F10*Locales!$M$7+G10*Locales!$M$8+H10*Locales!$M$9+I10*Locales!$M$10+J10*Locales!$M$11+K10*Locales!$M$12+L10*Locales!$M$13+M10*Locales!$M$14+N10*Locales!$M$15</f>
        <v/>
      </c>
      <c r="S10" s="13">
        <f>Q10+R10</f>
        <v/>
      </c>
      <c r="T10" s="13">
        <f>IF(Q10&lt;=0,0,MIN(Q10,IF(Q10&lt;=20,Datos!$B$25*Q10^Datos!$C$25+Datos!$D$25,Datos!$B$26*Q10^Datos!$C$26+Datos!$D$26)))</f>
        <v/>
      </c>
      <c r="U10" s="13">
        <f>IF(R10&lt;=0,0,MIN(R10,IF(R10&lt;=20,Datos!$B$25*R10^Datos!$C$25+Datos!$D$25,Datos!$B$26*R10^Datos!$C$26+Datos!$D$26)))</f>
        <v/>
      </c>
      <c r="V10" s="13">
        <f>SUM(Q10:Q$16)</f>
        <v/>
      </c>
      <c r="W10" s="13">
        <f>IF(V10&lt;=0,0,MIN(V10,IF(V10&lt;=20,Datos!$B$25*V10^Datos!$C$25+Datos!$D$25,Datos!$B$26*V10^Datos!$C$26+Datos!$D$26)))</f>
        <v/>
      </c>
    </row>
    <row r="11">
      <c r="A11" s="4" t="inlineStr">
        <is>
          <t>Planta 6</t>
        </is>
      </c>
      <c r="B11" s="5" t="n">
        <v>6</v>
      </c>
      <c r="C11" s="5" t="n">
        <v>24</v>
      </c>
      <c r="D11" s="5" t="n">
        <v>2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13">
        <f>Datos!$B$12+Datos!$B$13+(B11-1)*Datos!$B$14</f>
        <v/>
      </c>
      <c r="P11" s="13">
        <f>O11+Datos!$B$15</f>
        <v/>
      </c>
      <c r="Q11" s="13">
        <f>C11*Locales!$L$4+D11*Locales!$L$5+E11*Locales!$L$6+F11*Locales!$L$7+G11*Locales!$L$8+H11*Locales!$L$9+I11*Locales!$L$10+J11*Locales!$L$11+K11*Locales!$L$12+L11*Locales!$L$13+M11*Locales!$L$14+N11*Locales!$L$15</f>
        <v/>
      </c>
      <c r="R11" s="13">
        <f>C11*Locales!$M$4+D11*Locales!$M$5+E11*Locales!$M$6+F11*Locales!$M$7+G11*Locales!$M$8+H11*Locales!$M$9+I11*Locales!$M$10+J11*Locales!$M$11+K11*Locales!$M$12+L11*Locales!$M$13+M11*Locales!$M$14+N11*Locales!$M$15</f>
        <v/>
      </c>
      <c r="S11" s="13">
        <f>Q11+R11</f>
        <v/>
      </c>
      <c r="T11" s="13">
        <f>IF(Q11&lt;=0,0,MIN(Q11,IF(Q11&lt;=20,Datos!$B$25*Q11^Datos!$C$25+Datos!$D$25,Datos!$B$26*Q11^Datos!$C$26+Datos!$D$26)))</f>
        <v/>
      </c>
      <c r="U11" s="13">
        <f>IF(R11&lt;=0,0,MIN(R11,IF(R11&lt;=20,Datos!$B$25*R11^Datos!$C$25+Datos!$D$25,Datos!$B$26*R11^Datos!$C$26+Datos!$D$26)))</f>
        <v/>
      </c>
      <c r="V11" s="13">
        <f>SUM(Q11:Q$16)</f>
        <v/>
      </c>
      <c r="W11" s="13">
        <f>IF(V11&lt;=0,0,MIN(V11,IF(V11&lt;=20,Datos!$B$25*V11^Datos!$C$25+Datos!$D$25,Datos!$B$26*V11^Datos!$C$26+Datos!$D$26)))</f>
        <v/>
      </c>
    </row>
    <row r="12">
      <c r="A12" s="4" t="inlineStr">
        <is>
          <t>Planta 7</t>
        </is>
      </c>
      <c r="B12" s="5" t="n">
        <v>7</v>
      </c>
      <c r="C12" s="5" t="n">
        <v>24</v>
      </c>
      <c r="D12" s="5" t="n">
        <v>2</v>
      </c>
      <c r="E12" s="5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13">
        <f>Datos!$B$12+Datos!$B$13+(B12-1)*Datos!$B$14</f>
        <v/>
      </c>
      <c r="P12" s="13">
        <f>O12+Datos!$B$15</f>
        <v/>
      </c>
      <c r="Q12" s="13">
        <f>C12*Locales!$L$4+D12*Locales!$L$5+E12*Locales!$L$6+F12*Locales!$L$7+G12*Locales!$L$8+H12*Locales!$L$9+I12*Locales!$L$10+J12*Locales!$L$11+K12*Locales!$L$12+L12*Locales!$L$13+M12*Locales!$L$14+N12*Locales!$L$15</f>
        <v/>
      </c>
      <c r="R12" s="13">
        <f>C12*Locales!$M$4+D12*Locales!$M$5+E12*Locales!$M$6+F12*Locales!$M$7+G12*Locales!$M$8+H12*Locales!$M$9+I12*Locales!$M$10+J12*Locales!$M$11+K12*Locales!$M$12+L12*Locales!$M$13+M12*Locales!$M$14+N12*Locales!$M$15</f>
        <v/>
      </c>
      <c r="S12" s="13">
        <f>Q12+R12</f>
        <v/>
      </c>
      <c r="T12" s="13">
        <f>IF(Q12&lt;=0,0,MIN(Q12,IF(Q12&lt;=20,Datos!$B$25*Q12^Datos!$C$25+Datos!$D$25,Datos!$B$26*Q12^Datos!$C$26+Datos!$D$26)))</f>
        <v/>
      </c>
      <c r="U12" s="13">
        <f>IF(R12&lt;=0,0,MIN(R12,IF(R12&lt;=20,Datos!$B$25*R12^Datos!$C$25+Datos!$D$25,Datos!$B$26*R12^Datos!$C$26+Datos!$D$26)))</f>
        <v/>
      </c>
      <c r="V12" s="13">
        <f>SUM(Q12:Q$16)</f>
        <v/>
      </c>
      <c r="W12" s="13">
        <f>IF(V12&lt;=0,0,MIN(V12,IF(V12&lt;=20,Datos!$B$25*V12^Datos!$C$25+Datos!$D$25,Datos!$B$26*V12^Datos!$C$26+Datos!$D$26)))</f>
        <v/>
      </c>
    </row>
    <row r="13">
      <c r="A13" s="4" t="inlineStr">
        <is>
          <t>Planta 8</t>
        </is>
      </c>
      <c r="B13" s="5" t="n">
        <v>8</v>
      </c>
      <c r="C13" s="5" t="n">
        <v>24</v>
      </c>
      <c r="D13" s="5" t="n">
        <v>2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13">
        <f>Datos!$B$12+Datos!$B$13+(B13-1)*Datos!$B$14</f>
        <v/>
      </c>
      <c r="P13" s="13">
        <f>O13+Datos!$B$15</f>
        <v/>
      </c>
      <c r="Q13" s="13">
        <f>C13*Locales!$L$4+D13*Locales!$L$5+E13*Locales!$L$6+F13*Locales!$L$7+G13*Locales!$L$8+H13*Locales!$L$9+I13*Locales!$L$10+J13*Locales!$L$11+K13*Locales!$L$12+L13*Locales!$L$13+M13*Locales!$L$14+N13*Locales!$L$15</f>
        <v/>
      </c>
      <c r="R13" s="13">
        <f>C13*Locales!$M$4+D13*Locales!$M$5+E13*Locales!$M$6+F13*Locales!$M$7+G13*Locales!$M$8+H13*Locales!$M$9+I13*Locales!$M$10+J13*Locales!$M$11+K13*Locales!$M$12+L13*Locales!$M$13+M13*Locales!$M$14+N13*Locales!$M$15</f>
        <v/>
      </c>
      <c r="S13" s="13">
        <f>Q13+R13</f>
        <v/>
      </c>
      <c r="T13" s="13">
        <f>IF(Q13&lt;=0,0,MIN(Q13,IF(Q13&lt;=20,Datos!$B$25*Q13^Datos!$C$25+Datos!$D$25,Datos!$B$26*Q13^Datos!$C$26+Datos!$D$26)))</f>
        <v/>
      </c>
      <c r="U13" s="13">
        <f>IF(R13&lt;=0,0,MIN(R13,IF(R13&lt;=20,Datos!$B$25*R13^Datos!$C$25+Datos!$D$25,Datos!$B$26*R13^Datos!$C$26+Datos!$D$26)))</f>
        <v/>
      </c>
      <c r="V13" s="13">
        <f>SUM(Q13:Q$16)</f>
        <v/>
      </c>
      <c r="W13" s="13">
        <f>IF(V13&lt;=0,0,MIN(V13,IF(V13&lt;=20,Datos!$B$25*V13^Datos!$C$25+Datos!$D$25,Datos!$B$26*V13^Datos!$C$26+Datos!$D$26)))</f>
        <v/>
      </c>
    </row>
    <row r="14">
      <c r="A14" s="4" t="inlineStr">
        <is>
          <t>Planta 9</t>
        </is>
      </c>
      <c r="B14" s="5" t="n">
        <v>9</v>
      </c>
      <c r="C14" s="5" t="n">
        <v>24</v>
      </c>
      <c r="D14" s="5" t="n">
        <v>2</v>
      </c>
      <c r="E14" s="5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13">
        <f>Datos!$B$12+Datos!$B$13+(B14-1)*Datos!$B$14</f>
        <v/>
      </c>
      <c r="P14" s="13">
        <f>O14+Datos!$B$15</f>
        <v/>
      </c>
      <c r="Q14" s="13">
        <f>C14*Locales!$L$4+D14*Locales!$L$5+E14*Locales!$L$6+F14*Locales!$L$7+G14*Locales!$L$8+H14*Locales!$L$9+I14*Locales!$L$10+J14*Locales!$L$11+K14*Locales!$L$12+L14*Locales!$L$13+M14*Locales!$L$14+N14*Locales!$L$15</f>
        <v/>
      </c>
      <c r="R14" s="13">
        <f>C14*Locales!$M$4+D14*Locales!$M$5+E14*Locales!$M$6+F14*Locales!$M$7+G14*Locales!$M$8+H14*Locales!$M$9+I14*Locales!$M$10+J14*Locales!$M$11+K14*Locales!$M$12+L14*Locales!$M$13+M14*Locales!$M$14+N14*Locales!$M$15</f>
        <v/>
      </c>
      <c r="S14" s="13">
        <f>Q14+R14</f>
        <v/>
      </c>
      <c r="T14" s="13">
        <f>IF(Q14&lt;=0,0,MIN(Q14,IF(Q14&lt;=20,Datos!$B$25*Q14^Datos!$C$25+Datos!$D$25,Datos!$B$26*Q14^Datos!$C$26+Datos!$D$26)))</f>
        <v/>
      </c>
      <c r="U14" s="13">
        <f>IF(R14&lt;=0,0,MIN(R14,IF(R14&lt;=20,Datos!$B$25*R14^Datos!$C$25+Datos!$D$25,Datos!$B$26*R14^Datos!$C$26+Datos!$D$26)))</f>
        <v/>
      </c>
      <c r="V14" s="13">
        <f>SUM(Q14:Q$16)</f>
        <v/>
      </c>
      <c r="W14" s="13">
        <f>IF(V14&lt;=0,0,MIN(V14,IF(V14&lt;=20,Datos!$B$25*V14^Datos!$C$25+Datos!$D$25,Datos!$B$26*V14^Datos!$C$26+Datos!$D$26)))</f>
        <v/>
      </c>
    </row>
    <row r="15">
      <c r="A15" s="4" t="inlineStr">
        <is>
          <t>Planta 10</t>
        </is>
      </c>
      <c r="B15" s="5" t="n">
        <v>10</v>
      </c>
      <c r="C15" s="5" t="n">
        <v>24</v>
      </c>
      <c r="D15" s="5" t="n">
        <v>2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13">
        <f>Datos!$B$12+Datos!$B$13+(B15-1)*Datos!$B$14</f>
        <v/>
      </c>
      <c r="P15" s="13">
        <f>O15+Datos!$B$15</f>
        <v/>
      </c>
      <c r="Q15" s="13">
        <f>C15*Locales!$L$4+D15*Locales!$L$5+E15*Locales!$L$6+F15*Locales!$L$7+G15*Locales!$L$8+H15*Locales!$L$9+I15*Locales!$L$10+J15*Locales!$L$11+K15*Locales!$L$12+L15*Locales!$L$13+M15*Locales!$L$14+N15*Locales!$L$15</f>
        <v/>
      </c>
      <c r="R15" s="13">
        <f>C15*Locales!$M$4+D15*Locales!$M$5+E15*Locales!$M$6+F15*Locales!$M$7+G15*Locales!$M$8+H15*Locales!$M$9+I15*Locales!$M$10+J15*Locales!$M$11+K15*Locales!$M$12+L15*Locales!$M$13+M15*Locales!$M$14+N15*Locales!$M$15</f>
        <v/>
      </c>
      <c r="S15" s="13">
        <f>Q15+R15</f>
        <v/>
      </c>
      <c r="T15" s="13">
        <f>IF(Q15&lt;=0,0,MIN(Q15,IF(Q15&lt;=20,Datos!$B$25*Q15^Datos!$C$25+Datos!$D$25,Datos!$B$26*Q15^Datos!$C$26+Datos!$D$26)))</f>
        <v/>
      </c>
      <c r="U15" s="13">
        <f>IF(R15&lt;=0,0,MIN(R15,IF(R15&lt;=20,Datos!$B$25*R15^Datos!$C$25+Datos!$D$25,Datos!$B$26*R15^Datos!$C$26+Datos!$D$26)))</f>
        <v/>
      </c>
      <c r="V15" s="13">
        <f>SUM(Q15:Q$16)</f>
        <v/>
      </c>
      <c r="W15" s="13">
        <f>IF(V15&lt;=0,0,MIN(V15,IF(V15&lt;=20,Datos!$B$25*V15^Datos!$C$25+Datos!$D$25,Datos!$B$26*V15^Datos!$C$26+Datos!$D$26)))</f>
        <v/>
      </c>
    </row>
    <row r="16">
      <c r="A16" s="4" t="inlineStr">
        <is>
          <t>Planta 11</t>
        </is>
      </c>
      <c r="B16" s="5" t="n">
        <v>11</v>
      </c>
      <c r="C16" s="5" t="n">
        <v>24</v>
      </c>
      <c r="D16" s="5" t="n">
        <v>2</v>
      </c>
      <c r="E16" s="5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13">
        <f>Datos!$B$12+Datos!$B$13+(B16-1)*Datos!$B$14</f>
        <v/>
      </c>
      <c r="P16" s="13">
        <f>O16+Datos!$B$15</f>
        <v/>
      </c>
      <c r="Q16" s="13">
        <f>C16*Locales!$L$4+D16*Locales!$L$5+E16*Locales!$L$6+F16*Locales!$L$7+G16*Locales!$L$8+H16*Locales!$L$9+I16*Locales!$L$10+J16*Locales!$L$11+K16*Locales!$L$12+L16*Locales!$L$13+M16*Locales!$L$14+N16*Locales!$L$15</f>
        <v/>
      </c>
      <c r="R16" s="13">
        <f>C16*Locales!$M$4+D16*Locales!$M$5+E16*Locales!$M$6+F16*Locales!$M$7+G16*Locales!$M$8+H16*Locales!$M$9+I16*Locales!$M$10+J16*Locales!$M$11+K16*Locales!$M$12+L16*Locales!$M$13+M16*Locales!$M$14+N16*Locales!$M$15</f>
        <v/>
      </c>
      <c r="S16" s="13">
        <f>Q16+R16</f>
        <v/>
      </c>
      <c r="T16" s="13">
        <f>IF(Q16&lt;=0,0,MIN(Q16,IF(Q16&lt;=20,Datos!$B$25*Q16^Datos!$C$25+Datos!$D$25,Datos!$B$26*Q16^Datos!$C$26+Datos!$D$26)))</f>
        <v/>
      </c>
      <c r="U16" s="13">
        <f>IF(R16&lt;=0,0,MIN(R16,IF(R16&lt;=20,Datos!$B$25*R16^Datos!$C$25+Datos!$D$25,Datos!$B$26*R16^Datos!$C$26+Datos!$D$26)))</f>
        <v/>
      </c>
      <c r="V16" s="13">
        <f>SUM(Q16:Q$16)</f>
        <v/>
      </c>
      <c r="W16" s="13">
        <f>IF(V16&lt;=0,0,MIN(V16,IF(V16&lt;=20,Datos!$B$25*V16^Datos!$C$25+Datos!$D$25,Datos!$B$26*V16^Datos!$C$26+Datos!$D$26)))</f>
        <v/>
      </c>
    </row>
    <row r="17">
      <c r="A17" s="8" t="inlineStr">
        <is>
          <t>TOTAL EDIFICIO</t>
        </is>
      </c>
      <c r="Q17" s="14">
        <f>SUM(Q4:Q16)</f>
        <v/>
      </c>
      <c r="R17" s="14">
        <f>SUM(R4:R16)</f>
        <v/>
      </c>
      <c r="S17" s="14">
        <f>SUM(S4:S16)</f>
        <v/>
      </c>
      <c r="T17" s="14">
        <f>IF(Q17&lt;=0,0,MIN(Q17,IF(Q17&lt;=20,Datos!$B$25*Q17^Datos!$C$25+Datos!$D$25,Datos!$B$26*Q17^Datos!$C$26+Datos!$D$26)))</f>
        <v/>
      </c>
      <c r="U17" s="14">
        <f>IF(R17&lt;=0,0,MIN(R17,IF(R17&lt;=20,Datos!$B$25*R17^Datos!$C$25+Datos!$D$25,Datos!$B$26*R17^Datos!$C$26+Datos!$D$26)))</f>
        <v/>
      </c>
    </row>
    <row r="18">
      <c r="A18" s="8" t="inlineStr">
        <is>
          <t>Qc instalación general común (AF + alimentación producción ACS):</t>
        </is>
      </c>
      <c r="S18" s="14">
        <f>IF(S17&lt;=0,0,MIN(S17,IF(S17&lt;=20,Datos!$B$25*S17^Datos!$C$25+Datos!$D$25,Datos!$B$26*S17^Datos!$C$26+Datos!$D$26)))</f>
        <v/>
      </c>
    </row>
    <row r="19">
      <c r="A19" s="2" t="inlineStr">
        <is>
          <t>Nota: la simultaneidad se aplica al caudal instalado acumulado de cada tramo (UNE 149201). Qc nunca supera Qt.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50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Predimensionado: plantas abastecibles en directo con la presión de red</t>
        </is>
      </c>
    </row>
    <row r="2">
      <c r="A2" s="2" t="inlineStr">
        <is>
          <t>P grifo = P red − (z grifo − z calzada) − Σhm − j·L·fLeq   (Procedimiento diseño UPV, paso 3). Valores de j, Σhm y longitudes = estimación previa al trazado.</t>
        </is>
      </c>
    </row>
    <row r="3">
      <c r="A3" s="23" t="inlineStr">
        <is>
          <t>NOTA: este es el PREDIMENSIONADO inicial (paso 3 del procedimiento, con j y Σhm estimadas). El cálculo definitivo con el trazado real está en la hoja Recorridos: directo PB–P7, bombeo P8–P11.</t>
        </is>
      </c>
    </row>
    <row r="4">
      <c r="A4" s="3" t="inlineStr">
        <is>
          <t>Dato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</t>
        </is>
      </c>
    </row>
    <row r="5">
      <c r="A5" s="4" t="inlineStr">
        <is>
          <t>Pendiente hidráulica de diseño j</t>
        </is>
      </c>
      <c r="B5" s="7" t="n">
        <v>40</v>
      </c>
      <c r="C5" s="4" t="inlineStr">
        <is>
          <t>mm/m</t>
        </is>
      </c>
      <c r="D5" s="6" t="inlineStr">
        <is>
          <t>HIPÓTESIS: rango 15-150 mm/m</t>
        </is>
      </c>
    </row>
    <row r="6">
      <c r="A6" s="4" t="inlineStr">
        <is>
          <t>Σ pérdidas singulares (llave, filtro, contador, retención, llaves)</t>
        </is>
      </c>
      <c r="B6" s="7" t="n">
        <v>5</v>
      </c>
      <c r="C6" s="4" t="inlineStr">
        <is>
          <t>mca</t>
        </is>
      </c>
      <c r="D6" s="6" t="inlineStr">
        <is>
          <t>HIPÓTESIS: se recalcula con K reales</t>
        </is>
      </c>
    </row>
    <row r="7">
      <c r="A7" s="4" t="inlineStr">
        <is>
          <t>L acometida → patinillo (incl. bajada a sótano)</t>
        </is>
      </c>
      <c r="B7" s="7" t="n">
        <v>20</v>
      </c>
      <c r="C7" s="4" t="inlineStr">
        <is>
          <t>m</t>
        </is>
      </c>
      <c r="D7" s="6" t="inlineStr">
        <is>
          <t>HIPÓTESIS: acometida por fachada OESTE, núcleo escalera 1 (medir en plano)</t>
        </is>
      </c>
    </row>
    <row r="8">
      <c r="A8" s="4" t="inlineStr">
        <is>
          <t>L horizontal planta: patinillo → habitación más alejada</t>
        </is>
      </c>
      <c r="B8" s="7" t="n">
        <v>47</v>
      </c>
      <c r="C8" s="4" t="inlineStr">
        <is>
          <t>m</t>
        </is>
      </c>
      <c r="D8" s="6" t="inlineStr">
        <is>
          <t>Medido en DWG: núcleo x≈4 m a hab. extremo x≈51 m</t>
        </is>
      </c>
    </row>
    <row r="9">
      <c r="A9" s="4" t="inlineStr">
        <is>
          <t>L interior habitación hasta aparato DSF</t>
        </is>
      </c>
      <c r="B9" s="7" t="n">
        <v>6</v>
      </c>
      <c r="C9" s="4" t="inlineStr">
        <is>
          <t>m</t>
        </is>
      </c>
      <c r="D9" s="6" t="inlineStr">
        <is>
          <t>HIPÓTESIS</t>
        </is>
      </c>
    </row>
    <row r="11">
      <c r="A11" s="3" t="inlineStr">
        <is>
          <t>Planta</t>
        </is>
      </c>
      <c r="B11" s="3" t="inlineStr">
        <is>
          <t>Cota grifo (m)</t>
        </is>
      </c>
      <c r="C11" s="3" t="inlineStr">
        <is>
          <t>L real (m)</t>
        </is>
      </c>
      <c r="D11" s="3" t="inlineStr">
        <is>
          <t>hf = j·L·fLeq (mca)</t>
        </is>
      </c>
      <c r="E11" s="3" t="inlineStr">
        <is>
          <t>Σhm (mca)</t>
        </is>
      </c>
      <c r="F11" s="3" t="inlineStr">
        <is>
          <t>P grifo DSF (mca)</t>
        </is>
      </c>
      <c r="G11" s="3" t="inlineStr">
        <is>
          <t>¿Directo? (≥10 mca)</t>
        </is>
      </c>
    </row>
    <row r="12">
      <c r="A12" s="15">
        <f>Plantas!A5</f>
        <v/>
      </c>
      <c r="B12" s="12">
        <f>Plantas!P5</f>
        <v/>
      </c>
      <c r="C12" s="16">
        <f>$B$7+(B12-Datos!$B$16)+$B$8+$B$9</f>
        <v/>
      </c>
      <c r="D12" s="13">
        <f>$B$5/1000*C12*Datos!$B$17</f>
        <v/>
      </c>
      <c r="E12" s="13">
        <f>$B$6</f>
        <v/>
      </c>
      <c r="F12" s="13">
        <f>Datos!$B$7-(B12-Datos!$B$11)-D12-E12</f>
        <v/>
      </c>
      <c r="G12" s="4">
        <f>IF(F12&gt;=Datos!$B$18,"SÍ","NO → bombeo")</f>
        <v/>
      </c>
    </row>
    <row r="13">
      <c r="A13" s="15">
        <f>Plantas!A6</f>
        <v/>
      </c>
      <c r="B13" s="12">
        <f>Plantas!P6</f>
        <v/>
      </c>
      <c r="C13" s="16">
        <f>$B$7+(B13-Datos!$B$16)+$B$8+$B$9</f>
        <v/>
      </c>
      <c r="D13" s="13">
        <f>$B$5/1000*C13*Datos!$B$17</f>
        <v/>
      </c>
      <c r="E13" s="13">
        <f>$B$6</f>
        <v/>
      </c>
      <c r="F13" s="13">
        <f>Datos!$B$7-(B13-Datos!$B$11)-D13-E13</f>
        <v/>
      </c>
      <c r="G13" s="4">
        <f>IF(F13&gt;=Datos!$B$18,"SÍ","NO → bombeo")</f>
        <v/>
      </c>
    </row>
    <row r="14">
      <c r="A14" s="15">
        <f>Plantas!A7</f>
        <v/>
      </c>
      <c r="B14" s="12">
        <f>Plantas!P7</f>
        <v/>
      </c>
      <c r="C14" s="16">
        <f>$B$7+(B14-Datos!$B$16)+$B$8+$B$9</f>
        <v/>
      </c>
      <c r="D14" s="13">
        <f>$B$5/1000*C14*Datos!$B$17</f>
        <v/>
      </c>
      <c r="E14" s="13">
        <f>$B$6</f>
        <v/>
      </c>
      <c r="F14" s="13">
        <f>Datos!$B$7-(B14-Datos!$B$11)-D14-E14</f>
        <v/>
      </c>
      <c r="G14" s="4">
        <f>IF(F14&gt;=Datos!$B$18,"SÍ","NO → bombeo")</f>
        <v/>
      </c>
    </row>
    <row r="15">
      <c r="A15" s="15">
        <f>Plantas!A8</f>
        <v/>
      </c>
      <c r="B15" s="12">
        <f>Plantas!P8</f>
        <v/>
      </c>
      <c r="C15" s="16">
        <f>$B$7+(B15-Datos!$B$16)+$B$8+$B$9</f>
        <v/>
      </c>
      <c r="D15" s="13">
        <f>$B$5/1000*C15*Datos!$B$17</f>
        <v/>
      </c>
      <c r="E15" s="13">
        <f>$B$6</f>
        <v/>
      </c>
      <c r="F15" s="13">
        <f>Datos!$B$7-(B15-Datos!$B$11)-D15-E15</f>
        <v/>
      </c>
      <c r="G15" s="4">
        <f>IF(F15&gt;=Datos!$B$18,"SÍ","NO → bombeo")</f>
        <v/>
      </c>
    </row>
    <row r="16">
      <c r="A16" s="15">
        <f>Plantas!A9</f>
        <v/>
      </c>
      <c r="B16" s="12">
        <f>Plantas!P9</f>
        <v/>
      </c>
      <c r="C16" s="16">
        <f>$B$7+(B16-Datos!$B$16)+$B$8+$B$9</f>
        <v/>
      </c>
      <c r="D16" s="13">
        <f>$B$5/1000*C16*Datos!$B$17</f>
        <v/>
      </c>
      <c r="E16" s="13">
        <f>$B$6</f>
        <v/>
      </c>
      <c r="F16" s="13">
        <f>Datos!$B$7-(B16-Datos!$B$11)-D16-E16</f>
        <v/>
      </c>
      <c r="G16" s="4">
        <f>IF(F16&gt;=Datos!$B$18,"SÍ","NO → bombeo")</f>
        <v/>
      </c>
    </row>
    <row r="17">
      <c r="A17" s="15">
        <f>Plantas!A10</f>
        <v/>
      </c>
      <c r="B17" s="12">
        <f>Plantas!P10</f>
        <v/>
      </c>
      <c r="C17" s="16">
        <f>$B$7+(B17-Datos!$B$16)+$B$8+$B$9</f>
        <v/>
      </c>
      <c r="D17" s="13">
        <f>$B$5/1000*C17*Datos!$B$17</f>
        <v/>
      </c>
      <c r="E17" s="13">
        <f>$B$6</f>
        <v/>
      </c>
      <c r="F17" s="13">
        <f>Datos!$B$7-(B17-Datos!$B$11)-D17-E17</f>
        <v/>
      </c>
      <c r="G17" s="4">
        <f>IF(F17&gt;=Datos!$B$18,"SÍ","NO → bombeo")</f>
        <v/>
      </c>
    </row>
    <row r="18">
      <c r="A18" s="15">
        <f>Plantas!A11</f>
        <v/>
      </c>
      <c r="B18" s="12">
        <f>Plantas!P11</f>
        <v/>
      </c>
      <c r="C18" s="16">
        <f>$B$7+(B18-Datos!$B$16)+$B$8+$B$9</f>
        <v/>
      </c>
      <c r="D18" s="13">
        <f>$B$5/1000*C18*Datos!$B$17</f>
        <v/>
      </c>
      <c r="E18" s="13">
        <f>$B$6</f>
        <v/>
      </c>
      <c r="F18" s="13">
        <f>Datos!$B$7-(B18-Datos!$B$11)-D18-E18</f>
        <v/>
      </c>
      <c r="G18" s="4">
        <f>IF(F18&gt;=Datos!$B$18,"SÍ","NO → bombeo")</f>
        <v/>
      </c>
    </row>
    <row r="19">
      <c r="A19" s="15">
        <f>Plantas!A12</f>
        <v/>
      </c>
      <c r="B19" s="12">
        <f>Plantas!P12</f>
        <v/>
      </c>
      <c r="C19" s="16">
        <f>$B$7+(B19-Datos!$B$16)+$B$8+$B$9</f>
        <v/>
      </c>
      <c r="D19" s="13">
        <f>$B$5/1000*C19*Datos!$B$17</f>
        <v/>
      </c>
      <c r="E19" s="13">
        <f>$B$6</f>
        <v/>
      </c>
      <c r="F19" s="13">
        <f>Datos!$B$7-(B19-Datos!$B$11)-D19-E19</f>
        <v/>
      </c>
      <c r="G19" s="4">
        <f>IF(F19&gt;=Datos!$B$18,"SÍ","NO → bombeo")</f>
        <v/>
      </c>
    </row>
    <row r="20">
      <c r="A20" s="15">
        <f>Plantas!A13</f>
        <v/>
      </c>
      <c r="B20" s="12">
        <f>Plantas!P13</f>
        <v/>
      </c>
      <c r="C20" s="16">
        <f>$B$7+(B20-Datos!$B$16)+$B$8+$B$9</f>
        <v/>
      </c>
      <c r="D20" s="13">
        <f>$B$5/1000*C20*Datos!$B$17</f>
        <v/>
      </c>
      <c r="E20" s="13">
        <f>$B$6</f>
        <v/>
      </c>
      <c r="F20" s="13">
        <f>Datos!$B$7-(B20-Datos!$B$11)-D20-E20</f>
        <v/>
      </c>
      <c r="G20" s="4">
        <f>IF(F20&gt;=Datos!$B$18,"SÍ","NO → bombeo")</f>
        <v/>
      </c>
    </row>
    <row r="21">
      <c r="A21" s="15">
        <f>Plantas!A14</f>
        <v/>
      </c>
      <c r="B21" s="12">
        <f>Plantas!P14</f>
        <v/>
      </c>
      <c r="C21" s="16">
        <f>$B$7+(B21-Datos!$B$16)+$B$8+$B$9</f>
        <v/>
      </c>
      <c r="D21" s="13">
        <f>$B$5/1000*C21*Datos!$B$17</f>
        <v/>
      </c>
      <c r="E21" s="13">
        <f>$B$6</f>
        <v/>
      </c>
      <c r="F21" s="13">
        <f>Datos!$B$7-(B21-Datos!$B$11)-D21-E21</f>
        <v/>
      </c>
      <c r="G21" s="4">
        <f>IF(F21&gt;=Datos!$B$18,"SÍ","NO → bombeo")</f>
        <v/>
      </c>
    </row>
    <row r="22">
      <c r="A22" s="15">
        <f>Plantas!A15</f>
        <v/>
      </c>
      <c r="B22" s="12">
        <f>Plantas!P15</f>
        <v/>
      </c>
      <c r="C22" s="16">
        <f>$B$7+(B22-Datos!$B$16)+$B$8+$B$9</f>
        <v/>
      </c>
      <c r="D22" s="13">
        <f>$B$5/1000*C22*Datos!$B$17</f>
        <v/>
      </c>
      <c r="E22" s="13">
        <f>$B$6</f>
        <v/>
      </c>
      <c r="F22" s="13">
        <f>Datos!$B$7-(B22-Datos!$B$11)-D22-E22</f>
        <v/>
      </c>
      <c r="G22" s="4">
        <f>IF(F22&gt;=Datos!$B$18,"SÍ","NO → bombeo")</f>
        <v/>
      </c>
    </row>
    <row r="23">
      <c r="A23" s="15">
        <f>Plantas!A16</f>
        <v/>
      </c>
      <c r="B23" s="12">
        <f>Plantas!P16</f>
        <v/>
      </c>
      <c r="C23" s="16">
        <f>$B$7+(B23-Datos!$B$16)+$B$8+$B$9</f>
        <v/>
      </c>
      <c r="D23" s="13">
        <f>$B$5/1000*C23*Datos!$B$17</f>
        <v/>
      </c>
      <c r="E23" s="13">
        <f>$B$6</f>
        <v/>
      </c>
      <c r="F23" s="13">
        <f>Datos!$B$7-(B23-Datos!$B$11)-D23-E23</f>
        <v/>
      </c>
      <c r="G23" s="4">
        <f>IF(F23&gt;=Datos!$B$18,"SÍ","NO → bombeo")</f>
        <v/>
      </c>
    </row>
    <row r="25">
      <c r="A25" s="8" t="inlineStr">
        <is>
          <t>Plantas en directo (incluida PB):</t>
        </is>
      </c>
      <c r="B25" s="8">
        <f>COUNTIF(G12:G23,"SÍ")</f>
        <v/>
      </c>
    </row>
    <row r="26">
      <c r="A26" s="8" t="inlineStr">
        <is>
          <t>Plantas con bombeo:</t>
        </is>
      </c>
      <c r="B26" s="8">
        <f>COUNTIF(G12:G23,"NO*")</f>
        <v/>
      </c>
    </row>
    <row r="28">
      <c r="A28" s="8" t="inlineStr">
        <is>
          <t>Comprobación nº de plantas por estación con BVF (Procedimiento paso 3): Pmin + Δp calderín + Δz·NP &lt; 50 mca</t>
        </is>
      </c>
    </row>
    <row r="29">
      <c r="A29" t="inlineStr">
        <is>
          <t>NP máximo con BVF:</t>
        </is>
      </c>
      <c r="B29" s="4">
        <f>INT((Datos!$B$19-Datos!$B$18-Datos!$B$20)/Datos!$B$14)</f>
        <v/>
      </c>
    </row>
    <row r="30">
      <c r="A30" s="6" t="inlineStr">
        <is>
          <t>Límite enunciado (cond. 28): BVF ≤ 6 alturas · BVV ≤ 10 alturas por estación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2" max="2"/>
  </cols>
  <sheetData>
    <row r="1">
      <c r="A1" s="8" t="inlineStr">
        <is>
          <t>Diámetros comerciales (interior). Multicapa PE-RT/Al/PE-RT PN10 a 70 ºC · PE100 SDR11 PN16 · valvulería por DN</t>
        </is>
      </c>
    </row>
    <row r="2">
      <c r="A2" s="2" t="inlineStr">
        <is>
          <t>Comprobar las medidas con el catálogo comercial concreto que elijáis (multicapa: serie habitual 16…90 mm).</t>
        </is>
      </c>
    </row>
    <row r="3">
      <c r="A3" s="3" t="inlineStr">
        <is>
          <t>Serie</t>
        </is>
      </c>
      <c r="B3" s="3" t="inlineStr">
        <is>
          <t>Designación</t>
        </is>
      </c>
      <c r="C3" s="3" t="inlineStr">
        <is>
          <t>Di (mm)</t>
        </is>
      </c>
    </row>
    <row r="4">
      <c r="A4" t="inlineStr">
        <is>
          <t>MC</t>
        </is>
      </c>
      <c r="B4" t="inlineStr">
        <is>
          <t>MC 16x2</t>
        </is>
      </c>
      <c r="C4" s="5" t="n">
        <v>12</v>
      </c>
    </row>
    <row r="5">
      <c r="A5" t="inlineStr">
        <is>
          <t>MC</t>
        </is>
      </c>
      <c r="B5" t="inlineStr">
        <is>
          <t>MC 20x2</t>
        </is>
      </c>
      <c r="C5" s="5" t="n">
        <v>16</v>
      </c>
    </row>
    <row r="6">
      <c r="A6" t="inlineStr">
        <is>
          <t>MC</t>
        </is>
      </c>
      <c r="B6" t="inlineStr">
        <is>
          <t>MC 26x3</t>
        </is>
      </c>
      <c r="C6" s="5" t="n">
        <v>20</v>
      </c>
    </row>
    <row r="7">
      <c r="A7" t="inlineStr">
        <is>
          <t>MC</t>
        </is>
      </c>
      <c r="B7" t="inlineStr">
        <is>
          <t>MC 32x3</t>
        </is>
      </c>
      <c r="C7" s="5" t="n">
        <v>26</v>
      </c>
    </row>
    <row r="8">
      <c r="A8" t="inlineStr">
        <is>
          <t>MC</t>
        </is>
      </c>
      <c r="B8" t="inlineStr">
        <is>
          <t>MC 40x3.5</t>
        </is>
      </c>
      <c r="C8" s="5" t="n">
        <v>33</v>
      </c>
    </row>
    <row r="9">
      <c r="A9" t="inlineStr">
        <is>
          <t>MC</t>
        </is>
      </c>
      <c r="B9" t="inlineStr">
        <is>
          <t>MC 50x4</t>
        </is>
      </c>
      <c r="C9" s="5" t="n">
        <v>42</v>
      </c>
    </row>
    <row r="10">
      <c r="A10" t="inlineStr">
        <is>
          <t>MC</t>
        </is>
      </c>
      <c r="B10" t="inlineStr">
        <is>
          <t>MC 63x4.5</t>
        </is>
      </c>
      <c r="C10" s="5" t="n">
        <v>54</v>
      </c>
    </row>
    <row r="11">
      <c r="A11" t="inlineStr">
        <is>
          <t>MC</t>
        </is>
      </c>
      <c r="B11" t="inlineStr">
        <is>
          <t>MC 75x5</t>
        </is>
      </c>
      <c r="C11" s="5" t="n">
        <v>65</v>
      </c>
    </row>
    <row r="12">
      <c r="A12" t="inlineStr">
        <is>
          <t>MC</t>
        </is>
      </c>
      <c r="B12" t="inlineStr">
        <is>
          <t>MC 90x6</t>
        </is>
      </c>
      <c r="C12" s="5" t="n">
        <v>78</v>
      </c>
    </row>
    <row r="14">
      <c r="A14" s="3" t="inlineStr">
        <is>
          <t>Serie</t>
        </is>
      </c>
      <c r="B14" s="3" t="inlineStr">
        <is>
          <t>Designación</t>
        </is>
      </c>
      <c r="C14" s="3" t="inlineStr">
        <is>
          <t>Di (mm)</t>
        </is>
      </c>
    </row>
    <row r="15">
      <c r="A15" t="inlineStr">
        <is>
          <t>PE</t>
        </is>
      </c>
      <c r="B15" t="inlineStr">
        <is>
          <t>PE 40x3.7</t>
        </is>
      </c>
      <c r="C15" s="5" t="n">
        <v>32.6</v>
      </c>
    </row>
    <row r="16">
      <c r="A16" t="inlineStr">
        <is>
          <t>PE</t>
        </is>
      </c>
      <c r="B16" t="inlineStr">
        <is>
          <t>PE 50x4.6</t>
        </is>
      </c>
      <c r="C16" s="5" t="n">
        <v>40.8</v>
      </c>
    </row>
    <row r="17">
      <c r="A17" t="inlineStr">
        <is>
          <t>PE</t>
        </is>
      </c>
      <c r="B17" t="inlineStr">
        <is>
          <t>PE 63x5.8</t>
        </is>
      </c>
      <c r="C17" s="5" t="n">
        <v>51.4</v>
      </c>
    </row>
    <row r="18">
      <c r="A18" t="inlineStr">
        <is>
          <t>PE</t>
        </is>
      </c>
      <c r="B18" t="inlineStr">
        <is>
          <t>PE 75x6.8</t>
        </is>
      </c>
      <c r="C18" s="5" t="n">
        <v>61.4</v>
      </c>
    </row>
    <row r="19">
      <c r="A19" t="inlineStr">
        <is>
          <t>PE</t>
        </is>
      </c>
      <c r="B19" t="inlineStr">
        <is>
          <t>PE 90x8.2</t>
        </is>
      </c>
      <c r="C19" s="5" t="n">
        <v>73.59999999999999</v>
      </c>
    </row>
    <row r="20">
      <c r="A20" t="inlineStr">
        <is>
          <t>PE</t>
        </is>
      </c>
      <c r="B20" t="inlineStr">
        <is>
          <t>PE 110x10</t>
        </is>
      </c>
      <c r="C20" s="5" t="n">
        <v>90</v>
      </c>
    </row>
    <row r="21">
      <c r="A21" t="inlineStr">
        <is>
          <t>PE</t>
        </is>
      </c>
      <c r="B21" t="inlineStr">
        <is>
          <t>PE 125x11.4</t>
        </is>
      </c>
      <c r="C21" s="5" t="n">
        <v>102.2</v>
      </c>
    </row>
    <row r="23">
      <c r="A23" s="3" t="inlineStr">
        <is>
          <t>Serie</t>
        </is>
      </c>
      <c r="B23" s="3" t="inlineStr">
        <is>
          <t>Designación</t>
        </is>
      </c>
      <c r="C23" s="3" t="inlineStr">
        <is>
          <t>Di (mm)</t>
        </is>
      </c>
    </row>
    <row r="24">
      <c r="A24" t="inlineStr">
        <is>
          <t>VAL</t>
        </is>
      </c>
      <c r="B24" t="inlineStr">
        <is>
          <t>DN15</t>
        </is>
      </c>
      <c r="C24" s="5" t="n">
        <v>15</v>
      </c>
    </row>
    <row r="25">
      <c r="A25" t="inlineStr">
        <is>
          <t>VAL</t>
        </is>
      </c>
      <c r="B25" t="inlineStr">
        <is>
          <t>DN20</t>
        </is>
      </c>
      <c r="C25" s="5" t="n">
        <v>20</v>
      </c>
    </row>
    <row r="26">
      <c r="A26" t="inlineStr">
        <is>
          <t>VAL</t>
        </is>
      </c>
      <c r="B26" t="inlineStr">
        <is>
          <t>DN25</t>
        </is>
      </c>
      <c r="C26" s="5" t="n">
        <v>25</v>
      </c>
    </row>
    <row r="27">
      <c r="A27" t="inlineStr">
        <is>
          <t>VAL</t>
        </is>
      </c>
      <c r="B27" t="inlineStr">
        <is>
          <t>DN32</t>
        </is>
      </c>
      <c r="C27" s="5" t="n">
        <v>32</v>
      </c>
    </row>
    <row r="28">
      <c r="A28" t="inlineStr">
        <is>
          <t>VAL</t>
        </is>
      </c>
      <c r="B28" t="inlineStr">
        <is>
          <t>DN40</t>
        </is>
      </c>
      <c r="C28" s="5" t="n">
        <v>40</v>
      </c>
    </row>
    <row r="29">
      <c r="A29" t="inlineStr">
        <is>
          <t>VAL</t>
        </is>
      </c>
      <c r="B29" t="inlineStr">
        <is>
          <t>DN50</t>
        </is>
      </c>
      <c r="C29" s="5" t="n">
        <v>50</v>
      </c>
    </row>
    <row r="30">
      <c r="A30" t="inlineStr">
        <is>
          <t>VAL</t>
        </is>
      </c>
      <c r="B30" t="inlineStr">
        <is>
          <t>DN65</t>
        </is>
      </c>
      <c r="C30" s="5" t="n">
        <v>65</v>
      </c>
    </row>
    <row r="31">
      <c r="A31" t="inlineStr">
        <is>
          <t>VAL</t>
        </is>
      </c>
      <c r="B31" t="inlineStr">
        <is>
          <t>DN80</t>
        </is>
      </c>
      <c r="C31" s="5" t="n">
        <v>80</v>
      </c>
    </row>
    <row r="32">
      <c r="A32" t="inlineStr">
        <is>
          <t>VAL</t>
        </is>
      </c>
      <c r="B32" t="inlineStr">
        <is>
          <t>DN100</t>
        </is>
      </c>
      <c r="C32" s="5" t="n">
        <v>100</v>
      </c>
    </row>
    <row r="33">
      <c r="A33" t="inlineStr">
        <is>
          <t>VAL</t>
        </is>
      </c>
      <c r="B33" t="inlineStr">
        <is>
          <t>DN125</t>
        </is>
      </c>
      <c r="C33" s="5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8" customWidth="1" min="3" max="3"/>
    <col width="6" customWidth="1" min="4" max="4"/>
    <col width="9" customWidth="1" min="5" max="5"/>
    <col width="9" customWidth="1" min="6" max="6"/>
    <col width="8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12" customWidth="1" min="14" max="14"/>
    <col width="8" customWidth="1" min="15" max="15"/>
    <col width="7" customWidth="1" min="16" max="16"/>
    <col width="8" customWidth="1" min="17" max="17"/>
    <col width="8" customWidth="1" min="18" max="18"/>
    <col width="9" customWidth="1" min="19" max="19"/>
    <col width="8" customWidth="1" min="20" max="20"/>
    <col width="8" customWidth="1" min="21" max="21"/>
    <col width="6" customWidth="1" min="22" max="22"/>
    <col width="8" customWidth="1" min="23" max="23"/>
    <col width="9" customWidth="1" min="24" max="24"/>
  </cols>
  <sheetData>
    <row r="1">
      <c r="A1" s="10" t="inlineStr">
        <is>
          <t>Dimensionado de tramos · Qc según UNE 149201 · Darcy-Weisbach (Swamee-Jain) · L cálculo = L real × 1,30</t>
        </is>
      </c>
    </row>
    <row r="2">
      <c r="A2" s="2" t="inlineStr">
        <is>
          <t>Azul = dato (longitudes medidas en el DWG, nº de locales aguas abajo). Para forzar otro diámetro, cambia la velocidad objetivo (col. L).</t>
        </is>
      </c>
    </row>
    <row r="4" ht="48" customHeight="1">
      <c r="A4" s="3" t="inlineStr">
        <is>
          <t>ID</t>
        </is>
      </c>
      <c r="B4" s="3" t="inlineStr">
        <is>
          <t>Descripción</t>
        </is>
      </c>
      <c r="C4" s="3" t="inlineStr">
        <is>
          <t>Circuito</t>
        </is>
      </c>
      <c r="D4" s="3" t="inlineStr">
        <is>
          <t>Serie</t>
        </is>
      </c>
      <c r="E4" s="3" t="inlineStr">
        <is>
          <t>Hab. estándar aguas abajo</t>
        </is>
      </c>
      <c r="F4" s="3" t="inlineStr">
        <is>
          <t>Hab. adaptadas aguas abajo</t>
        </is>
      </c>
      <c r="G4" s="3" t="inlineStr">
        <is>
          <t>Oficios aguas abajo</t>
        </is>
      </c>
      <c r="H4" s="3" t="inlineStr">
        <is>
          <t>Qt adicional (l/s)</t>
        </is>
      </c>
      <c r="I4" s="3" t="inlineStr">
        <is>
          <t>Qt (l/s)</t>
        </is>
      </c>
      <c r="J4" s="3" t="inlineStr">
        <is>
          <t>Q aparato mayor (l/s)</t>
        </is>
      </c>
      <c r="K4" s="3" t="inlineStr">
        <is>
          <t>Qc (l/s)</t>
        </is>
      </c>
      <c r="L4" s="3" t="inlineStr">
        <is>
          <t>v objetivo (m/s)</t>
        </is>
      </c>
      <c r="M4" s="3" t="inlineStr">
        <is>
          <t>D teórico (mm)</t>
        </is>
      </c>
      <c r="N4" s="3" t="inlineStr">
        <is>
          <t>Designación</t>
        </is>
      </c>
      <c r="O4" s="3" t="inlineStr">
        <is>
          <t>Di (mm)</t>
        </is>
      </c>
      <c r="P4" s="3" t="inlineStr">
        <is>
          <t>v (m/s)</t>
        </is>
      </c>
      <c r="Q4" s="3" t="inlineStr">
        <is>
          <t>L real (m)</t>
        </is>
      </c>
      <c r="R4" s="3" t="inlineStr">
        <is>
          <t>L cálculo (m)</t>
        </is>
      </c>
      <c r="S4" s="3" t="inlineStr">
        <is>
          <t>Re</t>
        </is>
      </c>
      <c r="T4" s="3" t="inlineStr">
        <is>
          <t>f</t>
        </is>
      </c>
      <c r="U4" s="3" t="inlineStr">
        <is>
          <t>hf (mca)</t>
        </is>
      </c>
      <c r="V4" s="3" t="inlineStr">
        <is>
          <t>ΣK</t>
        </is>
      </c>
      <c r="W4" s="3" t="inlineStr">
        <is>
          <t>hm (mca)</t>
        </is>
      </c>
      <c r="X4" s="3" t="inlineStr">
        <is>
          <t>hf+hm (mca)</t>
        </is>
      </c>
    </row>
    <row r="5">
      <c r="A5" s="8" t="inlineStr">
        <is>
          <t>G1</t>
        </is>
      </c>
      <c r="B5" s="4" t="inlineStr">
        <is>
          <t>Acometida: red general (fachada O) → hornacina contador</t>
        </is>
      </c>
      <c r="C5" s="4" t="inlineStr">
        <is>
          <t>AF</t>
        </is>
      </c>
      <c r="D5" s="4" t="inlineStr">
        <is>
          <t>PE</t>
        </is>
      </c>
      <c r="E5" s="5" t="n">
        <v>0</v>
      </c>
      <c r="F5" s="5" t="n">
        <v>0</v>
      </c>
      <c r="G5" s="5" t="n">
        <v>0</v>
      </c>
      <c r="H5" s="11">
        <f>Plantas!$S$17</f>
        <v/>
      </c>
      <c r="I5" s="11">
        <f>IF(C5="AF",E5*Locales!$L$4+F5*Locales!$L$5+G5*Locales!$L$6,E5*Locales!$M$4+F5*Locales!$M$5+G5*Locales!$M$6)+H5</f>
        <v/>
      </c>
      <c r="J5" s="9" t="n">
        <v>0</v>
      </c>
      <c r="K5" s="11">
        <f>MAX(J5,IF(I5&lt;=0,0,MIN(I5,IF(I5&lt;=20,Datos!$B$25*I5^Datos!$C$25+Datos!$D$25,Datos!$B$26*I5^Datos!$C$26+Datos!$D$26))))</f>
        <v/>
      </c>
      <c r="L5" s="19" t="n">
        <v>1.2</v>
      </c>
      <c r="M5" s="16">
        <f>SQRT(4*K5/1000/(PI()*L5))*1000</f>
        <v/>
      </c>
      <c r="N5" s="4">
        <f>IF(D5="MC",INDEX(Tubos!$B$4:$B$12,MIN(COUNTIF(Tubos!$C$4:$C$12,"&lt;"&amp;M5)+1,9)),IF(D5="PE",INDEX(Tubos!$B$15:$B$21,MIN(COUNTIF(Tubos!$C$15:$C$21,"&lt;"&amp;M5)+1,7)),INDEX(Tubos!$B$24:$B$33,MIN(COUNTIF(Tubos!$C$24:$C$33,"&lt;"&amp;M5)+1,10))))</f>
        <v/>
      </c>
      <c r="O5" s="16">
        <f>IF(D5="MC",INDEX(Tubos!$C$4:$C$12,MIN(COUNTIF(Tubos!$C$4:$C$12,"&lt;"&amp;M5)+1,9)),IF(D5="PE",INDEX(Tubos!$C$15:$C$21,MIN(COUNTIF(Tubos!$C$15:$C$21,"&lt;"&amp;M5)+1,7)),INDEX(Tubos!$C$24:$C$33,MIN(COUNTIF(Tubos!$C$24:$C$33,"&lt;"&amp;M5)+1,10))))</f>
        <v/>
      </c>
      <c r="P5" s="13">
        <f>K5/1000/(PI()*(O5/1000)^2/4)</f>
        <v/>
      </c>
      <c r="Q5" s="20" t="n">
        <v>14</v>
      </c>
      <c r="R5" s="13">
        <f>Q5*Datos!$B$17</f>
        <v/>
      </c>
      <c r="S5" s="21">
        <f>P5*O5/1000/IF(C5="AF",Datos!$B$46,Datos!$B$47)</f>
        <v/>
      </c>
      <c r="T5" s="22">
        <f>IF(S5&lt;=0,0,0.25/(LOG10(Datos!$B$48/(3.7*O5/1000)+5.74/S5^0.9))^2)</f>
        <v/>
      </c>
      <c r="U5" s="11">
        <f>IF(R5=0,0,T5*R5/(O5/1000)*P5^2/(2*Datos!$B$45))</f>
        <v/>
      </c>
      <c r="V5" s="19" t="n">
        <v>0.6</v>
      </c>
      <c r="W5" s="11">
        <f>V5*P5^2/(2*Datos!$B$45)</f>
        <v/>
      </c>
      <c r="X5" s="11">
        <f>U5+W5</f>
        <v/>
      </c>
    </row>
    <row r="6">
      <c r="A6" s="8" t="inlineStr">
        <is>
          <t>E1</t>
        </is>
      </c>
      <c r="B6" s="4" t="inlineStr">
        <is>
          <t>Contador general (hornacina fachada O)</t>
        </is>
      </c>
      <c r="C6" s="4" t="inlineStr">
        <is>
          <t>AF</t>
        </is>
      </c>
      <c r="D6" s="4" t="inlineStr">
        <is>
          <t>VAL</t>
        </is>
      </c>
      <c r="E6" s="5" t="n">
        <v>0</v>
      </c>
      <c r="F6" s="5" t="n">
        <v>0</v>
      </c>
      <c r="G6" s="5" t="n">
        <v>0</v>
      </c>
      <c r="H6" s="11">
        <f>Plantas!$S$17</f>
        <v/>
      </c>
      <c r="I6" s="11">
        <f>IF(C6="AF",E6*Locales!$L$4+F6*Locales!$L$5+G6*Locales!$L$6,E6*Locales!$M$4+F6*Locales!$M$5+G6*Locales!$M$6)+H6</f>
        <v/>
      </c>
      <c r="J6" s="9" t="n">
        <v>0</v>
      </c>
      <c r="K6" s="11">
        <f>MAX(J6,IF(I6&lt;=0,0,MIN(I6,IF(I6&lt;=20,Datos!$B$25*I6^Datos!$C$25+Datos!$D$25,Datos!$B$26*I6^Datos!$C$26+Datos!$D$26))))</f>
        <v/>
      </c>
      <c r="L6" s="19" t="n">
        <v>1</v>
      </c>
      <c r="M6" s="16">
        <f>SQRT(4*K6/1000/(PI()*L6))*1000</f>
        <v/>
      </c>
      <c r="N6" s="4">
        <f>IF(D6="MC",INDEX(Tubos!$B$4:$B$12,MIN(COUNTIF(Tubos!$C$4:$C$12,"&lt;"&amp;M6)+1,9)),IF(D6="PE",INDEX(Tubos!$B$15:$B$21,MIN(COUNTIF(Tubos!$C$15:$C$21,"&lt;"&amp;M6)+1,7)),INDEX(Tubos!$B$24:$B$33,MIN(COUNTIF(Tubos!$C$24:$C$33,"&lt;"&amp;M6)+1,10))))</f>
        <v/>
      </c>
      <c r="O6" s="16">
        <f>IF(D6="MC",INDEX(Tubos!$C$4:$C$12,MIN(COUNTIF(Tubos!$C$4:$C$12,"&lt;"&amp;M6)+1,9)),IF(D6="PE",INDEX(Tubos!$C$15:$C$21,MIN(COUNTIF(Tubos!$C$15:$C$21,"&lt;"&amp;M6)+1,7)),INDEX(Tubos!$C$24:$C$33,MIN(COUNTIF(Tubos!$C$24:$C$33,"&lt;"&amp;M6)+1,10))))</f>
        <v/>
      </c>
      <c r="P6" s="13">
        <f>K6/1000/(PI()*(O6/1000)^2/4)</f>
        <v/>
      </c>
      <c r="Q6" s="20" t="n">
        <v>0</v>
      </c>
      <c r="R6" s="13">
        <f>Q6*Datos!$B$17</f>
        <v/>
      </c>
      <c r="S6" s="21">
        <f>P6*O6/1000/IF(C6="AF",Datos!$B$46,Datos!$B$47)</f>
        <v/>
      </c>
      <c r="T6" s="22">
        <f>IF(S6&lt;=0,0,0.25/(LOG10(Datos!$B$48/(3.7*O6/1000)+5.74/S6^0.9))^2)</f>
        <v/>
      </c>
      <c r="U6" s="11">
        <f>IF(R6=0,0,T6*R6/(O6/1000)*P6^2/(2*Datos!$B$45))</f>
        <v/>
      </c>
      <c r="V6" s="19" t="n">
        <v>10</v>
      </c>
      <c r="W6" s="11">
        <f>V6*P6^2/(2*Datos!$B$45)</f>
        <v/>
      </c>
      <c r="X6" s="11">
        <f>U6+W6</f>
        <v/>
      </c>
    </row>
    <row r="7">
      <c r="A7" s="8" t="inlineStr">
        <is>
          <t>E2</t>
        </is>
      </c>
      <c r="B7" s="4" t="inlineStr">
        <is>
          <t>Válvula de retención general</t>
        </is>
      </c>
      <c r="C7" s="4" t="inlineStr">
        <is>
          <t>AF</t>
        </is>
      </c>
      <c r="D7" s="4" t="inlineStr">
        <is>
          <t>VAL</t>
        </is>
      </c>
      <c r="E7" s="5" t="n">
        <v>0</v>
      </c>
      <c r="F7" s="5" t="n">
        <v>0</v>
      </c>
      <c r="G7" s="5" t="n">
        <v>0</v>
      </c>
      <c r="H7" s="11">
        <f>Plantas!$S$17</f>
        <v/>
      </c>
      <c r="I7" s="11">
        <f>IF(C7="AF",E7*Locales!$L$4+F7*Locales!$L$5+G7*Locales!$L$6,E7*Locales!$M$4+F7*Locales!$M$5+G7*Locales!$M$6)+H7</f>
        <v/>
      </c>
      <c r="J7" s="9" t="n">
        <v>0</v>
      </c>
      <c r="K7" s="11">
        <f>MAX(J7,IF(I7&lt;=0,0,MIN(I7,IF(I7&lt;=20,Datos!$B$25*I7^Datos!$C$25+Datos!$D$25,Datos!$B$26*I7^Datos!$C$26+Datos!$D$26))))</f>
        <v/>
      </c>
      <c r="L7" s="19" t="n">
        <v>1</v>
      </c>
      <c r="M7" s="16">
        <f>SQRT(4*K7/1000/(PI()*L7))*1000</f>
        <v/>
      </c>
      <c r="N7" s="4">
        <f>IF(D7="MC",INDEX(Tubos!$B$4:$B$12,MIN(COUNTIF(Tubos!$C$4:$C$12,"&lt;"&amp;M7)+1,9)),IF(D7="PE",INDEX(Tubos!$B$15:$B$21,MIN(COUNTIF(Tubos!$C$15:$C$21,"&lt;"&amp;M7)+1,7)),INDEX(Tubos!$B$24:$B$33,MIN(COUNTIF(Tubos!$C$24:$C$33,"&lt;"&amp;M7)+1,10))))</f>
        <v/>
      </c>
      <c r="O7" s="16">
        <f>IF(D7="MC",INDEX(Tubos!$C$4:$C$12,MIN(COUNTIF(Tubos!$C$4:$C$12,"&lt;"&amp;M7)+1,9)),IF(D7="PE",INDEX(Tubos!$C$15:$C$21,MIN(COUNTIF(Tubos!$C$15:$C$21,"&lt;"&amp;M7)+1,7)),INDEX(Tubos!$C$24:$C$33,MIN(COUNTIF(Tubos!$C$24:$C$33,"&lt;"&amp;M7)+1,10))))</f>
        <v/>
      </c>
      <c r="P7" s="13">
        <f>K7/1000/(PI()*(O7/1000)^2/4)</f>
        <v/>
      </c>
      <c r="Q7" s="20" t="n">
        <v>0</v>
      </c>
      <c r="R7" s="13">
        <f>Q7*Datos!$B$17</f>
        <v/>
      </c>
      <c r="S7" s="21">
        <f>P7*O7/1000/IF(C7="AF",Datos!$B$46,Datos!$B$47)</f>
        <v/>
      </c>
      <c r="T7" s="22">
        <f>IF(S7&lt;=0,0,0.25/(LOG10(Datos!$B$48/(3.7*O7/1000)+5.74/S7^0.9))^2)</f>
        <v/>
      </c>
      <c r="U7" s="11">
        <f>IF(R7=0,0,T7*R7/(O7/1000)*P7^2/(2*Datos!$B$45))</f>
        <v/>
      </c>
      <c r="V7" s="19" t="n">
        <v>2.5</v>
      </c>
      <c r="W7" s="11">
        <f>V7*P7^2/(2*Datos!$B$45)</f>
        <v/>
      </c>
      <c r="X7" s="11">
        <f>U7+W7</f>
        <v/>
      </c>
    </row>
    <row r="8">
      <c r="A8" s="8" t="inlineStr">
        <is>
          <t>E3</t>
        </is>
      </c>
      <c r="B8" s="4" t="inlineStr">
        <is>
          <t>Llaves de aislamiento contador (2 ud)</t>
        </is>
      </c>
      <c r="C8" s="4" t="inlineStr">
        <is>
          <t>AF</t>
        </is>
      </c>
      <c r="D8" s="4" t="inlineStr">
        <is>
          <t>VAL</t>
        </is>
      </c>
      <c r="E8" s="5" t="n">
        <v>0</v>
      </c>
      <c r="F8" s="5" t="n">
        <v>0</v>
      </c>
      <c r="G8" s="5" t="n">
        <v>0</v>
      </c>
      <c r="H8" s="11">
        <f>Plantas!$S$17</f>
        <v/>
      </c>
      <c r="I8" s="11">
        <f>IF(C8="AF",E8*Locales!$L$4+F8*Locales!$L$5+G8*Locales!$L$6,E8*Locales!$M$4+F8*Locales!$M$5+G8*Locales!$M$6)+H8</f>
        <v/>
      </c>
      <c r="J8" s="9" t="n">
        <v>0</v>
      </c>
      <c r="K8" s="11">
        <f>MAX(J8,IF(I8&lt;=0,0,MIN(I8,IF(I8&lt;=20,Datos!$B$25*I8^Datos!$C$25+Datos!$D$25,Datos!$B$26*I8^Datos!$C$26+Datos!$D$26))))</f>
        <v/>
      </c>
      <c r="L8" s="19" t="n">
        <v>1</v>
      </c>
      <c r="M8" s="16">
        <f>SQRT(4*K8/1000/(PI()*L8))*1000</f>
        <v/>
      </c>
      <c r="N8" s="4">
        <f>IF(D8="MC",INDEX(Tubos!$B$4:$B$12,MIN(COUNTIF(Tubos!$C$4:$C$12,"&lt;"&amp;M8)+1,9)),IF(D8="PE",INDEX(Tubos!$B$15:$B$21,MIN(COUNTIF(Tubos!$C$15:$C$21,"&lt;"&amp;M8)+1,7)),INDEX(Tubos!$B$24:$B$33,MIN(COUNTIF(Tubos!$C$24:$C$33,"&lt;"&amp;M8)+1,10))))</f>
        <v/>
      </c>
      <c r="O8" s="16">
        <f>IF(D8="MC",INDEX(Tubos!$C$4:$C$12,MIN(COUNTIF(Tubos!$C$4:$C$12,"&lt;"&amp;M8)+1,9)),IF(D8="PE",INDEX(Tubos!$C$15:$C$21,MIN(COUNTIF(Tubos!$C$15:$C$21,"&lt;"&amp;M8)+1,7)),INDEX(Tubos!$C$24:$C$33,MIN(COUNTIF(Tubos!$C$24:$C$33,"&lt;"&amp;M8)+1,10))))</f>
        <v/>
      </c>
      <c r="P8" s="13">
        <f>K8/1000/(PI()*(O8/1000)^2/4)</f>
        <v/>
      </c>
      <c r="Q8" s="20" t="n">
        <v>0</v>
      </c>
      <c r="R8" s="13">
        <f>Q8*Datos!$B$17</f>
        <v/>
      </c>
      <c r="S8" s="21">
        <f>P8*O8/1000/IF(C8="AF",Datos!$B$46,Datos!$B$47)</f>
        <v/>
      </c>
      <c r="T8" s="22">
        <f>IF(S8&lt;=0,0,0.25/(LOG10(Datos!$B$48/(3.7*O8/1000)+5.74/S8^0.9))^2)</f>
        <v/>
      </c>
      <c r="U8" s="11">
        <f>IF(R8=0,0,T8*R8/(O8/1000)*P8^2/(2*Datos!$B$45))</f>
        <v/>
      </c>
      <c r="V8" s="19" t="n">
        <v>0.6</v>
      </c>
      <c r="W8" s="11">
        <f>V8*P8^2/(2*Datos!$B$45)</f>
        <v/>
      </c>
      <c r="X8" s="11">
        <f>U8+W8</f>
        <v/>
      </c>
    </row>
    <row r="9">
      <c r="A9" s="8" t="inlineStr">
        <is>
          <t>G2</t>
        </is>
      </c>
      <c r="B9" s="4" t="inlineStr">
        <is>
          <t>Tubo de alimentación: hornacina → cuarto AF sótano (colgado)</t>
        </is>
      </c>
      <c r="C9" s="4" t="inlineStr">
        <is>
          <t>AF</t>
        </is>
      </c>
      <c r="D9" s="4" t="inlineStr">
        <is>
          <t>PE</t>
        </is>
      </c>
      <c r="E9" s="5" t="n">
        <v>0</v>
      </c>
      <c r="F9" s="5" t="n">
        <v>0</v>
      </c>
      <c r="G9" s="5" t="n">
        <v>0</v>
      </c>
      <c r="H9" s="11">
        <f>Plantas!$S$17</f>
        <v/>
      </c>
      <c r="I9" s="11">
        <f>IF(C9="AF",E9*Locales!$L$4+F9*Locales!$L$5+G9*Locales!$L$6,E9*Locales!$M$4+F9*Locales!$M$5+G9*Locales!$M$6)+H9</f>
        <v/>
      </c>
      <c r="J9" s="9" t="n">
        <v>0</v>
      </c>
      <c r="K9" s="11">
        <f>MAX(J9,IF(I9&lt;=0,0,MIN(I9,IF(I9&lt;=20,Datos!$B$25*I9^Datos!$C$25+Datos!$D$25,Datos!$B$26*I9^Datos!$C$26+Datos!$D$26))))</f>
        <v/>
      </c>
      <c r="L9" s="19" t="n">
        <v>1.2</v>
      </c>
      <c r="M9" s="16">
        <f>SQRT(4*K9/1000/(PI()*L9))*1000</f>
        <v/>
      </c>
      <c r="N9" s="4">
        <f>IF(D9="MC",INDEX(Tubos!$B$4:$B$12,MIN(COUNTIF(Tubos!$C$4:$C$12,"&lt;"&amp;M9)+1,9)),IF(D9="PE",INDEX(Tubos!$B$15:$B$21,MIN(COUNTIF(Tubos!$C$15:$C$21,"&lt;"&amp;M9)+1,7)),INDEX(Tubos!$B$24:$B$33,MIN(COUNTIF(Tubos!$C$24:$C$33,"&lt;"&amp;M9)+1,10))))</f>
        <v/>
      </c>
      <c r="O9" s="16">
        <f>IF(D9="MC",INDEX(Tubos!$C$4:$C$12,MIN(COUNTIF(Tubos!$C$4:$C$12,"&lt;"&amp;M9)+1,9)),IF(D9="PE",INDEX(Tubos!$C$15:$C$21,MIN(COUNTIF(Tubos!$C$15:$C$21,"&lt;"&amp;M9)+1,7)),INDEX(Tubos!$C$24:$C$33,MIN(COUNTIF(Tubos!$C$24:$C$33,"&lt;"&amp;M9)+1,10))))</f>
        <v/>
      </c>
      <c r="P9" s="13">
        <f>K9/1000/(PI()*(O9/1000)^2/4)</f>
        <v/>
      </c>
      <c r="Q9" s="20" t="n">
        <v>14</v>
      </c>
      <c r="R9" s="13">
        <f>Q9*Datos!$B$17</f>
        <v/>
      </c>
      <c r="S9" s="21">
        <f>P9*O9/1000/IF(C9="AF",Datos!$B$46,Datos!$B$47)</f>
        <v/>
      </c>
      <c r="T9" s="22">
        <f>IF(S9&lt;=0,0,0.25/(LOG10(Datos!$B$48/(3.7*O9/1000)+5.74/S9^0.9))^2)</f>
        <v/>
      </c>
      <c r="U9" s="11">
        <f>IF(R9=0,0,T9*R9/(O9/1000)*P9^2/(2*Datos!$B$45))</f>
        <v/>
      </c>
      <c r="V9" s="19" t="n">
        <v>0.3</v>
      </c>
      <c r="W9" s="11">
        <f>V9*P9^2/(2*Datos!$B$45)</f>
        <v/>
      </c>
      <c r="X9" s="11">
        <f>U9+W9</f>
        <v/>
      </c>
    </row>
    <row r="10">
      <c r="A10" s="8" t="inlineStr">
        <is>
          <t>E4</t>
        </is>
      </c>
      <c r="B10" s="4" t="inlineStr">
        <is>
          <t>Filtro general (cuarto AF)</t>
        </is>
      </c>
      <c r="C10" s="4" t="inlineStr">
        <is>
          <t>AF</t>
        </is>
      </c>
      <c r="D10" s="4" t="inlineStr">
        <is>
          <t>VAL</t>
        </is>
      </c>
      <c r="E10" s="5" t="n">
        <v>0</v>
      </c>
      <c r="F10" s="5" t="n">
        <v>0</v>
      </c>
      <c r="G10" s="5" t="n">
        <v>0</v>
      </c>
      <c r="H10" s="11">
        <f>Plantas!$S$17</f>
        <v/>
      </c>
      <c r="I10" s="11">
        <f>IF(C10="AF",E10*Locales!$L$4+F10*Locales!$L$5+G10*Locales!$L$6,E10*Locales!$M$4+F10*Locales!$M$5+G10*Locales!$M$6)+H10</f>
        <v/>
      </c>
      <c r="J10" s="9" t="n">
        <v>0</v>
      </c>
      <c r="K10" s="11">
        <f>MAX(J10,IF(I10&lt;=0,0,MIN(I10,IF(I10&lt;=20,Datos!$B$25*I10^Datos!$C$25+Datos!$D$25,Datos!$B$26*I10^Datos!$C$26+Datos!$D$26))))</f>
        <v/>
      </c>
      <c r="L10" s="19" t="n">
        <v>1</v>
      </c>
      <c r="M10" s="16">
        <f>SQRT(4*K10/1000/(PI()*L10))*1000</f>
        <v/>
      </c>
      <c r="N10" s="4">
        <f>IF(D10="MC",INDEX(Tubos!$B$4:$B$12,MIN(COUNTIF(Tubos!$C$4:$C$12,"&lt;"&amp;M10)+1,9)),IF(D10="PE",INDEX(Tubos!$B$15:$B$21,MIN(COUNTIF(Tubos!$C$15:$C$21,"&lt;"&amp;M10)+1,7)),INDEX(Tubos!$B$24:$B$33,MIN(COUNTIF(Tubos!$C$24:$C$33,"&lt;"&amp;M10)+1,10))))</f>
        <v/>
      </c>
      <c r="O10" s="16">
        <f>IF(D10="MC",INDEX(Tubos!$C$4:$C$12,MIN(COUNTIF(Tubos!$C$4:$C$12,"&lt;"&amp;M10)+1,9)),IF(D10="PE",INDEX(Tubos!$C$15:$C$21,MIN(COUNTIF(Tubos!$C$15:$C$21,"&lt;"&amp;M10)+1,7)),INDEX(Tubos!$C$24:$C$33,MIN(COUNTIF(Tubos!$C$24:$C$33,"&lt;"&amp;M10)+1,10))))</f>
        <v/>
      </c>
      <c r="P10" s="13">
        <f>K10/1000/(PI()*(O10/1000)^2/4)</f>
        <v/>
      </c>
      <c r="Q10" s="20" t="n">
        <v>0</v>
      </c>
      <c r="R10" s="13">
        <f>Q10*Datos!$B$17</f>
        <v/>
      </c>
      <c r="S10" s="21">
        <f>P10*O10/1000/IF(C10="AF",Datos!$B$46,Datos!$B$47)</f>
        <v/>
      </c>
      <c r="T10" s="22">
        <f>IF(S10&lt;=0,0,0.25/(LOG10(Datos!$B$48/(3.7*O10/1000)+5.74/S10^0.9))^2)</f>
        <v/>
      </c>
      <c r="U10" s="11">
        <f>IF(R10=0,0,T10*R10/(O10/1000)*P10^2/(2*Datos!$B$45))</f>
        <v/>
      </c>
      <c r="V10" s="19" t="n">
        <v>5</v>
      </c>
      <c r="W10" s="11">
        <f>V10*P10^2/(2*Datos!$B$45)</f>
        <v/>
      </c>
      <c r="X10" s="11">
        <f>U10+W10</f>
        <v/>
      </c>
    </row>
    <row r="11">
      <c r="A11" s="8" t="inlineStr">
        <is>
          <t>D0</t>
        </is>
      </c>
      <c r="B11" s="4" t="inlineStr">
        <is>
          <t>Colector directo (cuarto AF) + llave aislamiento</t>
        </is>
      </c>
      <c r="C11" s="4" t="inlineStr">
        <is>
          <t>AF</t>
        </is>
      </c>
      <c r="D11" s="4" t="inlineStr">
        <is>
          <t>MC</t>
        </is>
      </c>
      <c r="E11" s="5" t="n">
        <v>168</v>
      </c>
      <c r="F11" s="5" t="n">
        <v>14</v>
      </c>
      <c r="G11" s="5" t="n">
        <v>7</v>
      </c>
      <c r="H11" s="11">
        <f>Plantas!$Q$5+Plantas!$Q$4</f>
        <v/>
      </c>
      <c r="I11" s="11">
        <f>IF(C11="AF",E11*Locales!$L$4+F11*Locales!$L$5+G11*Locales!$L$6,E11*Locales!$M$4+F11*Locales!$M$5+G11*Locales!$M$6)+H11</f>
        <v/>
      </c>
      <c r="J11" s="9" t="n">
        <v>0</v>
      </c>
      <c r="K11" s="11">
        <f>MAX(J11,IF(I11&lt;=0,0,MIN(I11,IF(I11&lt;=20,Datos!$B$25*I11^Datos!$C$25+Datos!$D$25,Datos!$B$26*I11^Datos!$C$26+Datos!$D$26))))</f>
        <v/>
      </c>
      <c r="L11" s="19" t="n">
        <v>1</v>
      </c>
      <c r="M11" s="16">
        <f>SQRT(4*K11/1000/(PI()*L11))*1000</f>
        <v/>
      </c>
      <c r="N11" s="4">
        <f>IF(D11="MC",INDEX(Tubos!$B$4:$B$12,MIN(COUNTIF(Tubos!$C$4:$C$12,"&lt;"&amp;M11)+1,9)),IF(D11="PE",INDEX(Tubos!$B$15:$B$21,MIN(COUNTIF(Tubos!$C$15:$C$21,"&lt;"&amp;M11)+1,7)),INDEX(Tubos!$B$24:$B$33,MIN(COUNTIF(Tubos!$C$24:$C$33,"&lt;"&amp;M11)+1,10))))</f>
        <v/>
      </c>
      <c r="O11" s="16">
        <f>IF(D11="MC",INDEX(Tubos!$C$4:$C$12,MIN(COUNTIF(Tubos!$C$4:$C$12,"&lt;"&amp;M11)+1,9)),IF(D11="PE",INDEX(Tubos!$C$15:$C$21,MIN(COUNTIF(Tubos!$C$15:$C$21,"&lt;"&amp;M11)+1,7)),INDEX(Tubos!$C$24:$C$33,MIN(COUNTIF(Tubos!$C$24:$C$33,"&lt;"&amp;M11)+1,10))))</f>
        <v/>
      </c>
      <c r="P11" s="13">
        <f>K11/1000/(PI()*(O11/1000)^2/4)</f>
        <v/>
      </c>
      <c r="Q11" s="20" t="n">
        <v>2</v>
      </c>
      <c r="R11" s="13">
        <f>Q11*Datos!$B$17</f>
        <v/>
      </c>
      <c r="S11" s="21">
        <f>P11*O11/1000/IF(C11="AF",Datos!$B$46,Datos!$B$47)</f>
        <v/>
      </c>
      <c r="T11" s="22">
        <f>IF(S11&lt;=0,0,0.25/(LOG10(Datos!$B$48/(3.7*O11/1000)+5.74/S11^0.9))^2)</f>
        <v/>
      </c>
      <c r="U11" s="11">
        <f>IF(R11=0,0,T11*R11/(O11/1000)*P11^2/(2*Datos!$B$45))</f>
        <v/>
      </c>
      <c r="V11" s="19" t="n">
        <v>0.3</v>
      </c>
      <c r="W11" s="11">
        <f>V11*P11^2/(2*Datos!$B$45)</f>
        <v/>
      </c>
      <c r="X11" s="11">
        <f>U11+W11</f>
        <v/>
      </c>
    </row>
    <row r="12">
      <c r="A12" s="8" t="inlineStr">
        <is>
          <t>DL1</t>
        </is>
      </c>
      <c r="B12" s="4" t="inlineStr">
        <is>
          <t>Directo: cuarto AF → base patinillo O</t>
        </is>
      </c>
      <c r="C12" s="4" t="inlineStr">
        <is>
          <t>AF</t>
        </is>
      </c>
      <c r="D12" s="4" t="inlineStr">
        <is>
          <t>MC</t>
        </is>
      </c>
      <c r="E12" s="5" t="n">
        <v>84</v>
      </c>
      <c r="F12" s="5" t="n">
        <v>14</v>
      </c>
      <c r="G12" s="5" t="n">
        <v>0</v>
      </c>
      <c r="H12" s="9" t="n">
        <v>0</v>
      </c>
      <c r="I12" s="11">
        <f>IF(C12="AF",E12*Locales!$L$4+F12*Locales!$L$5+G12*Locales!$L$6,E12*Locales!$M$4+F12*Locales!$M$5+G12*Locales!$M$6)+H12</f>
        <v/>
      </c>
      <c r="J12" s="9" t="n">
        <v>0</v>
      </c>
      <c r="K12" s="11">
        <f>MAX(J12,IF(I12&lt;=0,0,MIN(I12,IF(I12&lt;=20,Datos!$B$25*I12^Datos!$C$25+Datos!$D$25,Datos!$B$26*I12^Datos!$C$26+Datos!$D$26))))</f>
        <v/>
      </c>
      <c r="L12" s="19" t="n">
        <v>1</v>
      </c>
      <c r="M12" s="16">
        <f>SQRT(4*K12/1000/(PI()*L12))*1000</f>
        <v/>
      </c>
      <c r="N12" s="4">
        <f>IF(D12="MC",INDEX(Tubos!$B$4:$B$12,MIN(COUNTIF(Tubos!$C$4:$C$12,"&lt;"&amp;M12)+1,9)),IF(D12="PE",INDEX(Tubos!$B$15:$B$21,MIN(COUNTIF(Tubos!$C$15:$C$21,"&lt;"&amp;M12)+1,7)),INDEX(Tubos!$B$24:$B$33,MIN(COUNTIF(Tubos!$C$24:$C$33,"&lt;"&amp;M12)+1,10))))</f>
        <v/>
      </c>
      <c r="O12" s="16">
        <f>IF(D12="MC",INDEX(Tubos!$C$4:$C$12,MIN(COUNTIF(Tubos!$C$4:$C$12,"&lt;"&amp;M12)+1,9)),IF(D12="PE",INDEX(Tubos!$C$15:$C$21,MIN(COUNTIF(Tubos!$C$15:$C$21,"&lt;"&amp;M12)+1,7)),INDEX(Tubos!$C$24:$C$33,MIN(COUNTIF(Tubos!$C$24:$C$33,"&lt;"&amp;M12)+1,10))))</f>
        <v/>
      </c>
      <c r="P12" s="13">
        <f>K12/1000/(PI()*(O12/1000)^2/4)</f>
        <v/>
      </c>
      <c r="Q12" s="20" t="n">
        <v>12</v>
      </c>
      <c r="R12" s="13">
        <f>Q12*Datos!$B$17</f>
        <v/>
      </c>
      <c r="S12" s="21">
        <f>P12*O12/1000/IF(C12="AF",Datos!$B$46,Datos!$B$47)</f>
        <v/>
      </c>
      <c r="T12" s="22">
        <f>IF(S12&lt;=0,0,0.25/(LOG10(Datos!$B$48/(3.7*O12/1000)+5.74/S12^0.9))^2)</f>
        <v/>
      </c>
      <c r="U12" s="11">
        <f>IF(R12=0,0,T12*R12/(O12/1000)*P12^2/(2*Datos!$B$45))</f>
        <v/>
      </c>
      <c r="V12" s="19" t="n">
        <v>2.8</v>
      </c>
      <c r="W12" s="11">
        <f>V12*P12^2/(2*Datos!$B$45)</f>
        <v/>
      </c>
      <c r="X12" s="11">
        <f>U12+W12</f>
        <v/>
      </c>
    </row>
    <row r="13">
      <c r="A13" s="8" t="inlineStr">
        <is>
          <t>DR1</t>
        </is>
      </c>
      <c r="B13" s="4" t="inlineStr">
        <is>
          <t>Directo: cuarto AF → base patinillo E</t>
        </is>
      </c>
      <c r="C13" s="4" t="inlineStr">
        <is>
          <t>AF</t>
        </is>
      </c>
      <c r="D13" s="4" t="inlineStr">
        <is>
          <t>MC</t>
        </is>
      </c>
      <c r="E13" s="5" t="n">
        <v>84</v>
      </c>
      <c r="F13" s="5" t="n">
        <v>0</v>
      </c>
      <c r="G13" s="5" t="n">
        <v>7</v>
      </c>
      <c r="H13" s="9" t="n">
        <v>0</v>
      </c>
      <c r="I13" s="11">
        <f>IF(C13="AF",E13*Locales!$L$4+F13*Locales!$L$5+G13*Locales!$L$6,E13*Locales!$M$4+F13*Locales!$M$5+G13*Locales!$M$6)+H13</f>
        <v/>
      </c>
      <c r="J13" s="9" t="n">
        <v>0</v>
      </c>
      <c r="K13" s="11">
        <f>MAX(J13,IF(I13&lt;=0,0,MIN(I13,IF(I13&lt;=20,Datos!$B$25*I13^Datos!$C$25+Datos!$D$25,Datos!$B$26*I13^Datos!$C$26+Datos!$D$26))))</f>
        <v/>
      </c>
      <c r="L13" s="19" t="n">
        <v>1</v>
      </c>
      <c r="M13" s="16">
        <f>SQRT(4*K13/1000/(PI()*L13))*1000</f>
        <v/>
      </c>
      <c r="N13" s="4">
        <f>IF(D13="MC",INDEX(Tubos!$B$4:$B$12,MIN(COUNTIF(Tubos!$C$4:$C$12,"&lt;"&amp;M13)+1,9)),IF(D13="PE",INDEX(Tubos!$B$15:$B$21,MIN(COUNTIF(Tubos!$C$15:$C$21,"&lt;"&amp;M13)+1,7)),INDEX(Tubos!$B$24:$B$33,MIN(COUNTIF(Tubos!$C$24:$C$33,"&lt;"&amp;M13)+1,10))))</f>
        <v/>
      </c>
      <c r="O13" s="16">
        <f>IF(D13="MC",INDEX(Tubos!$C$4:$C$12,MIN(COUNTIF(Tubos!$C$4:$C$12,"&lt;"&amp;M13)+1,9)),IF(D13="PE",INDEX(Tubos!$C$15:$C$21,MIN(COUNTIF(Tubos!$C$15:$C$21,"&lt;"&amp;M13)+1,7)),INDEX(Tubos!$C$24:$C$33,MIN(COUNTIF(Tubos!$C$24:$C$33,"&lt;"&amp;M13)+1,10))))</f>
        <v/>
      </c>
      <c r="P13" s="13">
        <f>K13/1000/(PI()*(O13/1000)^2/4)</f>
        <v/>
      </c>
      <c r="Q13" s="20" t="n">
        <v>48</v>
      </c>
      <c r="R13" s="13">
        <f>Q13*Datos!$B$17</f>
        <v/>
      </c>
      <c r="S13" s="21">
        <f>P13*O13/1000/IF(C13="AF",Datos!$B$46,Datos!$B$47)</f>
        <v/>
      </c>
      <c r="T13" s="22">
        <f>IF(S13&lt;=0,0,0.25/(LOG10(Datos!$B$48/(3.7*O13/1000)+5.74/S13^0.9))^2)</f>
        <v/>
      </c>
      <c r="U13" s="11">
        <f>IF(R13=0,0,T13*R13/(O13/1000)*P13^2/(2*Datos!$B$45))</f>
        <v/>
      </c>
      <c r="V13" s="19" t="n">
        <v>2.8</v>
      </c>
      <c r="W13" s="11">
        <f>V13*P13^2/(2*Datos!$B$45)</f>
        <v/>
      </c>
      <c r="X13" s="11">
        <f>U13+W13</f>
        <v/>
      </c>
    </row>
    <row r="14">
      <c r="A14" s="8" t="inlineStr">
        <is>
          <t>MDL1</t>
        </is>
      </c>
      <c r="B14" s="4" t="inlineStr">
        <is>
          <t>Montante directo O: tramo hasta planta 1</t>
        </is>
      </c>
      <c r="C14" s="4" t="inlineStr">
        <is>
          <t>AF</t>
        </is>
      </c>
      <c r="D14" s="4" t="inlineStr">
        <is>
          <t>MC</t>
        </is>
      </c>
      <c r="E14" s="5" t="n">
        <v>84</v>
      </c>
      <c r="F14" s="5" t="n">
        <v>14</v>
      </c>
      <c r="G14" s="5" t="n">
        <v>0</v>
      </c>
      <c r="H14" s="9" t="n">
        <v>0</v>
      </c>
      <c r="I14" s="11">
        <f>IF(C14="AF",E14*Locales!$L$4+F14*Locales!$L$5+G14*Locales!$L$6,E14*Locales!$M$4+F14*Locales!$M$5+G14*Locales!$M$6)+H14</f>
        <v/>
      </c>
      <c r="J14" s="9" t="n">
        <v>0</v>
      </c>
      <c r="K14" s="11">
        <f>MAX(J14,IF(I14&lt;=0,0,MIN(I14,IF(I14&lt;=20,Datos!$B$25*I14^Datos!$C$25+Datos!$D$25,Datos!$B$26*I14^Datos!$C$26+Datos!$D$26))))</f>
        <v/>
      </c>
      <c r="L14" s="19" t="n">
        <v>1</v>
      </c>
      <c r="M14" s="16">
        <f>SQRT(4*K14/1000/(PI()*L14))*1000</f>
        <v/>
      </c>
      <c r="N14" s="4">
        <f>IF(D14="MC",INDEX(Tubos!$B$4:$B$12,MIN(COUNTIF(Tubos!$C$4:$C$12,"&lt;"&amp;M14)+1,9)),IF(D14="PE",INDEX(Tubos!$B$15:$B$21,MIN(COUNTIF(Tubos!$C$15:$C$21,"&lt;"&amp;M14)+1,7)),INDEX(Tubos!$B$24:$B$33,MIN(COUNTIF(Tubos!$C$24:$C$33,"&lt;"&amp;M14)+1,10))))</f>
        <v/>
      </c>
      <c r="O14" s="16">
        <f>IF(D14="MC",INDEX(Tubos!$C$4:$C$12,MIN(COUNTIF(Tubos!$C$4:$C$12,"&lt;"&amp;M14)+1,9)),IF(D14="PE",INDEX(Tubos!$C$15:$C$21,MIN(COUNTIF(Tubos!$C$15:$C$21,"&lt;"&amp;M14)+1,7)),INDEX(Tubos!$C$24:$C$33,MIN(COUNTIF(Tubos!$C$24:$C$33,"&lt;"&amp;M14)+1,10))))</f>
        <v/>
      </c>
      <c r="P14" s="13">
        <f>K14/1000/(PI()*(O14/1000)^2/4)</f>
        <v/>
      </c>
      <c r="Q14" s="20" t="n">
        <v>7.3</v>
      </c>
      <c r="R14" s="13">
        <f>Q14*Datos!$B$17</f>
        <v/>
      </c>
      <c r="S14" s="21">
        <f>P14*O14/1000/IF(C14="AF",Datos!$B$46,Datos!$B$47)</f>
        <v/>
      </c>
      <c r="T14" s="22">
        <f>IF(S14&lt;=0,0,0.25/(LOG10(Datos!$B$48/(3.7*O14/1000)+5.74/S14^0.9))^2)</f>
        <v/>
      </c>
      <c r="U14" s="11">
        <f>IF(R14=0,0,T14*R14/(O14/1000)*P14^2/(2*Datos!$B$45))</f>
        <v/>
      </c>
      <c r="V14" s="19" t="n">
        <v>0</v>
      </c>
      <c r="W14" s="11">
        <f>V14*P14^2/(2*Datos!$B$45)</f>
        <v/>
      </c>
      <c r="X14" s="11">
        <f>U14+W14</f>
        <v/>
      </c>
    </row>
    <row r="15">
      <c r="A15" s="8" t="inlineStr">
        <is>
          <t>MDR1</t>
        </is>
      </c>
      <c r="B15" s="4" t="inlineStr">
        <is>
          <t>Montante directo E: tramo hasta planta 1</t>
        </is>
      </c>
      <c r="C15" s="4" t="inlineStr">
        <is>
          <t>AF</t>
        </is>
      </c>
      <c r="D15" s="4" t="inlineStr">
        <is>
          <t>MC</t>
        </is>
      </c>
      <c r="E15" s="5" t="n">
        <v>84</v>
      </c>
      <c r="F15" s="5" t="n">
        <v>0</v>
      </c>
      <c r="G15" s="5" t="n">
        <v>7</v>
      </c>
      <c r="H15" s="9" t="n">
        <v>0</v>
      </c>
      <c r="I15" s="11">
        <f>IF(C15="AF",E15*Locales!$L$4+F15*Locales!$L$5+G15*Locales!$L$6,E15*Locales!$M$4+F15*Locales!$M$5+G15*Locales!$M$6)+H15</f>
        <v/>
      </c>
      <c r="J15" s="9" t="n">
        <v>0</v>
      </c>
      <c r="K15" s="11">
        <f>MAX(J15,IF(I15&lt;=0,0,MIN(I15,IF(I15&lt;=20,Datos!$B$25*I15^Datos!$C$25+Datos!$D$25,Datos!$B$26*I15^Datos!$C$26+Datos!$D$26))))</f>
        <v/>
      </c>
      <c r="L15" s="19" t="n">
        <v>1</v>
      </c>
      <c r="M15" s="16">
        <f>SQRT(4*K15/1000/(PI()*L15))*1000</f>
        <v/>
      </c>
      <c r="N15" s="4">
        <f>IF(D15="MC",INDEX(Tubos!$B$4:$B$12,MIN(COUNTIF(Tubos!$C$4:$C$12,"&lt;"&amp;M15)+1,9)),IF(D15="PE",INDEX(Tubos!$B$15:$B$21,MIN(COUNTIF(Tubos!$C$15:$C$21,"&lt;"&amp;M15)+1,7)),INDEX(Tubos!$B$24:$B$33,MIN(COUNTIF(Tubos!$C$24:$C$33,"&lt;"&amp;M15)+1,10))))</f>
        <v/>
      </c>
      <c r="O15" s="16">
        <f>IF(D15="MC",INDEX(Tubos!$C$4:$C$12,MIN(COUNTIF(Tubos!$C$4:$C$12,"&lt;"&amp;M15)+1,9)),IF(D15="PE",INDEX(Tubos!$C$15:$C$21,MIN(COUNTIF(Tubos!$C$15:$C$21,"&lt;"&amp;M15)+1,7)),INDEX(Tubos!$C$24:$C$33,MIN(COUNTIF(Tubos!$C$24:$C$33,"&lt;"&amp;M15)+1,10))))</f>
        <v/>
      </c>
      <c r="P15" s="13">
        <f>K15/1000/(PI()*(O15/1000)^2/4)</f>
        <v/>
      </c>
      <c r="Q15" s="20" t="n">
        <v>7.3</v>
      </c>
      <c r="R15" s="13">
        <f>Q15*Datos!$B$17</f>
        <v/>
      </c>
      <c r="S15" s="21">
        <f>P15*O15/1000/IF(C15="AF",Datos!$B$46,Datos!$B$47)</f>
        <v/>
      </c>
      <c r="T15" s="22">
        <f>IF(S15&lt;=0,0,0.25/(LOG10(Datos!$B$48/(3.7*O15/1000)+5.74/S15^0.9))^2)</f>
        <v/>
      </c>
      <c r="U15" s="11">
        <f>IF(R15=0,0,T15*R15/(O15/1000)*P15^2/(2*Datos!$B$45))</f>
        <v/>
      </c>
      <c r="V15" s="19" t="n">
        <v>0</v>
      </c>
      <c r="W15" s="11">
        <f>V15*P15^2/(2*Datos!$B$45)</f>
        <v/>
      </c>
      <c r="X15" s="11">
        <f>U15+W15</f>
        <v/>
      </c>
    </row>
    <row r="16">
      <c r="A16" s="8" t="inlineStr">
        <is>
          <t>MDL2</t>
        </is>
      </c>
      <c r="B16" s="4" t="inlineStr">
        <is>
          <t>Montante directo O: tramo hasta planta 2</t>
        </is>
      </c>
      <c r="C16" s="4" t="inlineStr">
        <is>
          <t>AF</t>
        </is>
      </c>
      <c r="D16" s="4" t="inlineStr">
        <is>
          <t>MC</t>
        </is>
      </c>
      <c r="E16" s="5" t="n">
        <v>72</v>
      </c>
      <c r="F16" s="5" t="n">
        <v>12</v>
      </c>
      <c r="G16" s="5" t="n">
        <v>0</v>
      </c>
      <c r="H16" s="9" t="n">
        <v>0</v>
      </c>
      <c r="I16" s="11">
        <f>IF(C16="AF",E16*Locales!$L$4+F16*Locales!$L$5+G16*Locales!$L$6,E16*Locales!$M$4+F16*Locales!$M$5+G16*Locales!$M$6)+H16</f>
        <v/>
      </c>
      <c r="J16" s="9" t="n">
        <v>0</v>
      </c>
      <c r="K16" s="11">
        <f>MAX(J16,IF(I16&lt;=0,0,MIN(I16,IF(I16&lt;=20,Datos!$B$25*I16^Datos!$C$25+Datos!$D$25,Datos!$B$26*I16^Datos!$C$26+Datos!$D$26))))</f>
        <v/>
      </c>
      <c r="L16" s="19" t="n">
        <v>1</v>
      </c>
      <c r="M16" s="16">
        <f>SQRT(4*K16/1000/(PI()*L16))*1000</f>
        <v/>
      </c>
      <c r="N16" s="4">
        <f>IF(D16="MC",INDEX(Tubos!$B$4:$B$12,MIN(COUNTIF(Tubos!$C$4:$C$12,"&lt;"&amp;M16)+1,9)),IF(D16="PE",INDEX(Tubos!$B$15:$B$21,MIN(COUNTIF(Tubos!$C$15:$C$21,"&lt;"&amp;M16)+1,7)),INDEX(Tubos!$B$24:$B$33,MIN(COUNTIF(Tubos!$C$24:$C$33,"&lt;"&amp;M16)+1,10))))</f>
        <v/>
      </c>
      <c r="O16" s="16">
        <f>IF(D16="MC",INDEX(Tubos!$C$4:$C$12,MIN(COUNTIF(Tubos!$C$4:$C$12,"&lt;"&amp;M16)+1,9)),IF(D16="PE",INDEX(Tubos!$C$15:$C$21,MIN(COUNTIF(Tubos!$C$15:$C$21,"&lt;"&amp;M16)+1,7)),INDEX(Tubos!$C$24:$C$33,MIN(COUNTIF(Tubos!$C$24:$C$33,"&lt;"&amp;M16)+1,10))))</f>
        <v/>
      </c>
      <c r="P16" s="13">
        <f>K16/1000/(PI()*(O16/1000)^2/4)</f>
        <v/>
      </c>
      <c r="Q16" s="20" t="n">
        <v>3.3</v>
      </c>
      <c r="R16" s="13">
        <f>Q16*Datos!$B$17</f>
        <v/>
      </c>
      <c r="S16" s="21">
        <f>P16*O16/1000/IF(C16="AF",Datos!$B$46,Datos!$B$47)</f>
        <v/>
      </c>
      <c r="T16" s="22">
        <f>IF(S16&lt;=0,0,0.25/(LOG10(Datos!$B$48/(3.7*O16/1000)+5.74/S16^0.9))^2)</f>
        <v/>
      </c>
      <c r="U16" s="11">
        <f>IF(R16=0,0,T16*R16/(O16/1000)*P16^2/(2*Datos!$B$45))</f>
        <v/>
      </c>
      <c r="V16" s="19" t="n">
        <v>0</v>
      </c>
      <c r="W16" s="11">
        <f>V16*P16^2/(2*Datos!$B$45)</f>
        <v/>
      </c>
      <c r="X16" s="11">
        <f>U16+W16</f>
        <v/>
      </c>
    </row>
    <row r="17">
      <c r="A17" s="8" t="inlineStr">
        <is>
          <t>MDR2</t>
        </is>
      </c>
      <c r="B17" s="4" t="inlineStr">
        <is>
          <t>Montante directo E: tramo hasta planta 2</t>
        </is>
      </c>
      <c r="C17" s="4" t="inlineStr">
        <is>
          <t>AF</t>
        </is>
      </c>
      <c r="D17" s="4" t="inlineStr">
        <is>
          <t>MC</t>
        </is>
      </c>
      <c r="E17" s="5" t="n">
        <v>72</v>
      </c>
      <c r="F17" s="5" t="n">
        <v>0</v>
      </c>
      <c r="G17" s="5" t="n">
        <v>6</v>
      </c>
      <c r="H17" s="9" t="n">
        <v>0</v>
      </c>
      <c r="I17" s="11">
        <f>IF(C17="AF",E17*Locales!$L$4+F17*Locales!$L$5+G17*Locales!$L$6,E17*Locales!$M$4+F17*Locales!$M$5+G17*Locales!$M$6)+H17</f>
        <v/>
      </c>
      <c r="J17" s="9" t="n">
        <v>0</v>
      </c>
      <c r="K17" s="11">
        <f>MAX(J17,IF(I17&lt;=0,0,MIN(I17,IF(I17&lt;=20,Datos!$B$25*I17^Datos!$C$25+Datos!$D$25,Datos!$B$26*I17^Datos!$C$26+Datos!$D$26))))</f>
        <v/>
      </c>
      <c r="L17" s="19" t="n">
        <v>1</v>
      </c>
      <c r="M17" s="16">
        <f>SQRT(4*K17/1000/(PI()*L17))*1000</f>
        <v/>
      </c>
      <c r="N17" s="4">
        <f>IF(D17="MC",INDEX(Tubos!$B$4:$B$12,MIN(COUNTIF(Tubos!$C$4:$C$12,"&lt;"&amp;M17)+1,9)),IF(D17="PE",INDEX(Tubos!$B$15:$B$21,MIN(COUNTIF(Tubos!$C$15:$C$21,"&lt;"&amp;M17)+1,7)),INDEX(Tubos!$B$24:$B$33,MIN(COUNTIF(Tubos!$C$24:$C$33,"&lt;"&amp;M17)+1,10))))</f>
        <v/>
      </c>
      <c r="O17" s="16">
        <f>IF(D17="MC",INDEX(Tubos!$C$4:$C$12,MIN(COUNTIF(Tubos!$C$4:$C$12,"&lt;"&amp;M17)+1,9)),IF(D17="PE",INDEX(Tubos!$C$15:$C$21,MIN(COUNTIF(Tubos!$C$15:$C$21,"&lt;"&amp;M17)+1,7)),INDEX(Tubos!$C$24:$C$33,MIN(COUNTIF(Tubos!$C$24:$C$33,"&lt;"&amp;M17)+1,10))))</f>
        <v/>
      </c>
      <c r="P17" s="13">
        <f>K17/1000/(PI()*(O17/1000)^2/4)</f>
        <v/>
      </c>
      <c r="Q17" s="20" t="n">
        <v>3.3</v>
      </c>
      <c r="R17" s="13">
        <f>Q17*Datos!$B$17</f>
        <v/>
      </c>
      <c r="S17" s="21">
        <f>P17*O17/1000/IF(C17="AF",Datos!$B$46,Datos!$B$47)</f>
        <v/>
      </c>
      <c r="T17" s="22">
        <f>IF(S17&lt;=0,0,0.25/(LOG10(Datos!$B$48/(3.7*O17/1000)+5.74/S17^0.9))^2)</f>
        <v/>
      </c>
      <c r="U17" s="11">
        <f>IF(R17=0,0,T17*R17/(O17/1000)*P17^2/(2*Datos!$B$45))</f>
        <v/>
      </c>
      <c r="V17" s="19" t="n">
        <v>0</v>
      </c>
      <c r="W17" s="11">
        <f>V17*P17^2/(2*Datos!$B$45)</f>
        <v/>
      </c>
      <c r="X17" s="11">
        <f>U17+W17</f>
        <v/>
      </c>
    </row>
    <row r="18">
      <c r="A18" s="8" t="inlineStr">
        <is>
          <t>MDL3</t>
        </is>
      </c>
      <c r="B18" s="4" t="inlineStr">
        <is>
          <t>Montante directo O: tramo hasta planta 3</t>
        </is>
      </c>
      <c r="C18" s="4" t="inlineStr">
        <is>
          <t>AF</t>
        </is>
      </c>
      <c r="D18" s="4" t="inlineStr">
        <is>
          <t>MC</t>
        </is>
      </c>
      <c r="E18" s="5" t="n">
        <v>60</v>
      </c>
      <c r="F18" s="5" t="n">
        <v>10</v>
      </c>
      <c r="G18" s="5" t="n">
        <v>0</v>
      </c>
      <c r="H18" s="9" t="n">
        <v>0</v>
      </c>
      <c r="I18" s="11">
        <f>IF(C18="AF",E18*Locales!$L$4+F18*Locales!$L$5+G18*Locales!$L$6,E18*Locales!$M$4+F18*Locales!$M$5+G18*Locales!$M$6)+H18</f>
        <v/>
      </c>
      <c r="J18" s="9" t="n">
        <v>0</v>
      </c>
      <c r="K18" s="11">
        <f>MAX(J18,IF(I18&lt;=0,0,MIN(I18,IF(I18&lt;=20,Datos!$B$25*I18^Datos!$C$25+Datos!$D$25,Datos!$B$26*I18^Datos!$C$26+Datos!$D$26))))</f>
        <v/>
      </c>
      <c r="L18" s="19" t="n">
        <v>1</v>
      </c>
      <c r="M18" s="16">
        <f>SQRT(4*K18/1000/(PI()*L18))*1000</f>
        <v/>
      </c>
      <c r="N18" s="4">
        <f>IF(D18="MC",INDEX(Tubos!$B$4:$B$12,MIN(COUNTIF(Tubos!$C$4:$C$12,"&lt;"&amp;M18)+1,9)),IF(D18="PE",INDEX(Tubos!$B$15:$B$21,MIN(COUNTIF(Tubos!$C$15:$C$21,"&lt;"&amp;M18)+1,7)),INDEX(Tubos!$B$24:$B$33,MIN(COUNTIF(Tubos!$C$24:$C$33,"&lt;"&amp;M18)+1,10))))</f>
        <v/>
      </c>
      <c r="O18" s="16">
        <f>IF(D18="MC",INDEX(Tubos!$C$4:$C$12,MIN(COUNTIF(Tubos!$C$4:$C$12,"&lt;"&amp;M18)+1,9)),IF(D18="PE",INDEX(Tubos!$C$15:$C$21,MIN(COUNTIF(Tubos!$C$15:$C$21,"&lt;"&amp;M18)+1,7)),INDEX(Tubos!$C$24:$C$33,MIN(COUNTIF(Tubos!$C$24:$C$33,"&lt;"&amp;M18)+1,10))))</f>
        <v/>
      </c>
      <c r="P18" s="13">
        <f>K18/1000/(PI()*(O18/1000)^2/4)</f>
        <v/>
      </c>
      <c r="Q18" s="20" t="n">
        <v>3.3</v>
      </c>
      <c r="R18" s="13">
        <f>Q18*Datos!$B$17</f>
        <v/>
      </c>
      <c r="S18" s="21">
        <f>P18*O18/1000/IF(C18="AF",Datos!$B$46,Datos!$B$47)</f>
        <v/>
      </c>
      <c r="T18" s="22">
        <f>IF(S18&lt;=0,0,0.25/(LOG10(Datos!$B$48/(3.7*O18/1000)+5.74/S18^0.9))^2)</f>
        <v/>
      </c>
      <c r="U18" s="11">
        <f>IF(R18=0,0,T18*R18/(O18/1000)*P18^2/(2*Datos!$B$45))</f>
        <v/>
      </c>
      <c r="V18" s="19" t="n">
        <v>0</v>
      </c>
      <c r="W18" s="11">
        <f>V18*P18^2/(2*Datos!$B$45)</f>
        <v/>
      </c>
      <c r="X18" s="11">
        <f>U18+W18</f>
        <v/>
      </c>
    </row>
    <row r="19">
      <c r="A19" s="8" t="inlineStr">
        <is>
          <t>MDR3</t>
        </is>
      </c>
      <c r="B19" s="4" t="inlineStr">
        <is>
          <t>Montante directo E: tramo hasta planta 3</t>
        </is>
      </c>
      <c r="C19" s="4" t="inlineStr">
        <is>
          <t>AF</t>
        </is>
      </c>
      <c r="D19" s="4" t="inlineStr">
        <is>
          <t>MC</t>
        </is>
      </c>
      <c r="E19" s="5" t="n">
        <v>60</v>
      </c>
      <c r="F19" s="5" t="n">
        <v>0</v>
      </c>
      <c r="G19" s="5" t="n">
        <v>5</v>
      </c>
      <c r="H19" s="9" t="n">
        <v>0</v>
      </c>
      <c r="I19" s="11">
        <f>IF(C19="AF",E19*Locales!$L$4+F19*Locales!$L$5+G19*Locales!$L$6,E19*Locales!$M$4+F19*Locales!$M$5+G19*Locales!$M$6)+H19</f>
        <v/>
      </c>
      <c r="J19" s="9" t="n">
        <v>0</v>
      </c>
      <c r="K19" s="11">
        <f>MAX(J19,IF(I19&lt;=0,0,MIN(I19,IF(I19&lt;=20,Datos!$B$25*I19^Datos!$C$25+Datos!$D$25,Datos!$B$26*I19^Datos!$C$26+Datos!$D$26))))</f>
        <v/>
      </c>
      <c r="L19" s="19" t="n">
        <v>1</v>
      </c>
      <c r="M19" s="16">
        <f>SQRT(4*K19/1000/(PI()*L19))*1000</f>
        <v/>
      </c>
      <c r="N19" s="4">
        <f>IF(D19="MC",INDEX(Tubos!$B$4:$B$12,MIN(COUNTIF(Tubos!$C$4:$C$12,"&lt;"&amp;M19)+1,9)),IF(D19="PE",INDEX(Tubos!$B$15:$B$21,MIN(COUNTIF(Tubos!$C$15:$C$21,"&lt;"&amp;M19)+1,7)),INDEX(Tubos!$B$24:$B$33,MIN(COUNTIF(Tubos!$C$24:$C$33,"&lt;"&amp;M19)+1,10))))</f>
        <v/>
      </c>
      <c r="O19" s="16">
        <f>IF(D19="MC",INDEX(Tubos!$C$4:$C$12,MIN(COUNTIF(Tubos!$C$4:$C$12,"&lt;"&amp;M19)+1,9)),IF(D19="PE",INDEX(Tubos!$C$15:$C$21,MIN(COUNTIF(Tubos!$C$15:$C$21,"&lt;"&amp;M19)+1,7)),INDEX(Tubos!$C$24:$C$33,MIN(COUNTIF(Tubos!$C$24:$C$33,"&lt;"&amp;M19)+1,10))))</f>
        <v/>
      </c>
      <c r="P19" s="13">
        <f>K19/1000/(PI()*(O19/1000)^2/4)</f>
        <v/>
      </c>
      <c r="Q19" s="20" t="n">
        <v>3.3</v>
      </c>
      <c r="R19" s="13">
        <f>Q19*Datos!$B$17</f>
        <v/>
      </c>
      <c r="S19" s="21">
        <f>P19*O19/1000/IF(C19="AF",Datos!$B$46,Datos!$B$47)</f>
        <v/>
      </c>
      <c r="T19" s="22">
        <f>IF(S19&lt;=0,0,0.25/(LOG10(Datos!$B$48/(3.7*O19/1000)+5.74/S19^0.9))^2)</f>
        <v/>
      </c>
      <c r="U19" s="11">
        <f>IF(R19=0,0,T19*R19/(O19/1000)*P19^2/(2*Datos!$B$45))</f>
        <v/>
      </c>
      <c r="V19" s="19" t="n">
        <v>0</v>
      </c>
      <c r="W19" s="11">
        <f>V19*P19^2/(2*Datos!$B$45)</f>
        <v/>
      </c>
      <c r="X19" s="11">
        <f>U19+W19</f>
        <v/>
      </c>
    </row>
    <row r="20">
      <c r="A20" s="8" t="inlineStr">
        <is>
          <t>MDL4</t>
        </is>
      </c>
      <c r="B20" s="4" t="inlineStr">
        <is>
          <t>Montante directo O: tramo hasta planta 4</t>
        </is>
      </c>
      <c r="C20" s="4" t="inlineStr">
        <is>
          <t>AF</t>
        </is>
      </c>
      <c r="D20" s="4" t="inlineStr">
        <is>
          <t>MC</t>
        </is>
      </c>
      <c r="E20" s="5" t="n">
        <v>48</v>
      </c>
      <c r="F20" s="5" t="n">
        <v>8</v>
      </c>
      <c r="G20" s="5" t="n">
        <v>0</v>
      </c>
      <c r="H20" s="9" t="n">
        <v>0</v>
      </c>
      <c r="I20" s="11">
        <f>IF(C20="AF",E20*Locales!$L$4+F20*Locales!$L$5+G20*Locales!$L$6,E20*Locales!$M$4+F20*Locales!$M$5+G20*Locales!$M$6)+H20</f>
        <v/>
      </c>
      <c r="J20" s="9" t="n">
        <v>0</v>
      </c>
      <c r="K20" s="11">
        <f>MAX(J20,IF(I20&lt;=0,0,MIN(I20,IF(I20&lt;=20,Datos!$B$25*I20^Datos!$C$25+Datos!$D$25,Datos!$B$26*I20^Datos!$C$26+Datos!$D$26))))</f>
        <v/>
      </c>
      <c r="L20" s="19" t="n">
        <v>1</v>
      </c>
      <c r="M20" s="16">
        <f>SQRT(4*K20/1000/(PI()*L20))*1000</f>
        <v/>
      </c>
      <c r="N20" s="4">
        <f>IF(D20="MC",INDEX(Tubos!$B$4:$B$12,MIN(COUNTIF(Tubos!$C$4:$C$12,"&lt;"&amp;M20)+1,9)),IF(D20="PE",INDEX(Tubos!$B$15:$B$21,MIN(COUNTIF(Tubos!$C$15:$C$21,"&lt;"&amp;M20)+1,7)),INDEX(Tubos!$B$24:$B$33,MIN(COUNTIF(Tubos!$C$24:$C$33,"&lt;"&amp;M20)+1,10))))</f>
        <v/>
      </c>
      <c r="O20" s="16">
        <f>IF(D20="MC",INDEX(Tubos!$C$4:$C$12,MIN(COUNTIF(Tubos!$C$4:$C$12,"&lt;"&amp;M20)+1,9)),IF(D20="PE",INDEX(Tubos!$C$15:$C$21,MIN(COUNTIF(Tubos!$C$15:$C$21,"&lt;"&amp;M20)+1,7)),INDEX(Tubos!$C$24:$C$33,MIN(COUNTIF(Tubos!$C$24:$C$33,"&lt;"&amp;M20)+1,10))))</f>
        <v/>
      </c>
      <c r="P20" s="13">
        <f>K20/1000/(PI()*(O20/1000)^2/4)</f>
        <v/>
      </c>
      <c r="Q20" s="20" t="n">
        <v>3.3</v>
      </c>
      <c r="R20" s="13">
        <f>Q20*Datos!$B$17</f>
        <v/>
      </c>
      <c r="S20" s="21">
        <f>P20*O20/1000/IF(C20="AF",Datos!$B$46,Datos!$B$47)</f>
        <v/>
      </c>
      <c r="T20" s="22">
        <f>IF(S20&lt;=0,0,0.25/(LOG10(Datos!$B$48/(3.7*O20/1000)+5.74/S20^0.9))^2)</f>
        <v/>
      </c>
      <c r="U20" s="11">
        <f>IF(R20=0,0,T20*R20/(O20/1000)*P20^2/(2*Datos!$B$45))</f>
        <v/>
      </c>
      <c r="V20" s="19" t="n">
        <v>0</v>
      </c>
      <c r="W20" s="11">
        <f>V20*P20^2/(2*Datos!$B$45)</f>
        <v/>
      </c>
      <c r="X20" s="11">
        <f>U20+W20</f>
        <v/>
      </c>
    </row>
    <row r="21">
      <c r="A21" s="8" t="inlineStr">
        <is>
          <t>MDR4</t>
        </is>
      </c>
      <c r="B21" s="4" t="inlineStr">
        <is>
          <t>Montante directo E: tramo hasta planta 4</t>
        </is>
      </c>
      <c r="C21" s="4" t="inlineStr">
        <is>
          <t>AF</t>
        </is>
      </c>
      <c r="D21" s="4" t="inlineStr">
        <is>
          <t>MC</t>
        </is>
      </c>
      <c r="E21" s="5" t="n">
        <v>48</v>
      </c>
      <c r="F21" s="5" t="n">
        <v>0</v>
      </c>
      <c r="G21" s="5" t="n">
        <v>4</v>
      </c>
      <c r="H21" s="9" t="n">
        <v>0</v>
      </c>
      <c r="I21" s="11">
        <f>IF(C21="AF",E21*Locales!$L$4+F21*Locales!$L$5+G21*Locales!$L$6,E21*Locales!$M$4+F21*Locales!$M$5+G21*Locales!$M$6)+H21</f>
        <v/>
      </c>
      <c r="J21" s="9" t="n">
        <v>0</v>
      </c>
      <c r="K21" s="11">
        <f>MAX(J21,IF(I21&lt;=0,0,MIN(I21,IF(I21&lt;=20,Datos!$B$25*I21^Datos!$C$25+Datos!$D$25,Datos!$B$26*I21^Datos!$C$26+Datos!$D$26))))</f>
        <v/>
      </c>
      <c r="L21" s="19" t="n">
        <v>1</v>
      </c>
      <c r="M21" s="16">
        <f>SQRT(4*K21/1000/(PI()*L21))*1000</f>
        <v/>
      </c>
      <c r="N21" s="4">
        <f>IF(D21="MC",INDEX(Tubos!$B$4:$B$12,MIN(COUNTIF(Tubos!$C$4:$C$12,"&lt;"&amp;M21)+1,9)),IF(D21="PE",INDEX(Tubos!$B$15:$B$21,MIN(COUNTIF(Tubos!$C$15:$C$21,"&lt;"&amp;M21)+1,7)),INDEX(Tubos!$B$24:$B$33,MIN(COUNTIF(Tubos!$C$24:$C$33,"&lt;"&amp;M21)+1,10))))</f>
        <v/>
      </c>
      <c r="O21" s="16">
        <f>IF(D21="MC",INDEX(Tubos!$C$4:$C$12,MIN(COUNTIF(Tubos!$C$4:$C$12,"&lt;"&amp;M21)+1,9)),IF(D21="PE",INDEX(Tubos!$C$15:$C$21,MIN(COUNTIF(Tubos!$C$15:$C$21,"&lt;"&amp;M21)+1,7)),INDEX(Tubos!$C$24:$C$33,MIN(COUNTIF(Tubos!$C$24:$C$33,"&lt;"&amp;M21)+1,10))))</f>
        <v/>
      </c>
      <c r="P21" s="13">
        <f>K21/1000/(PI()*(O21/1000)^2/4)</f>
        <v/>
      </c>
      <c r="Q21" s="20" t="n">
        <v>3.3</v>
      </c>
      <c r="R21" s="13">
        <f>Q21*Datos!$B$17</f>
        <v/>
      </c>
      <c r="S21" s="21">
        <f>P21*O21/1000/IF(C21="AF",Datos!$B$46,Datos!$B$47)</f>
        <v/>
      </c>
      <c r="T21" s="22">
        <f>IF(S21&lt;=0,0,0.25/(LOG10(Datos!$B$48/(3.7*O21/1000)+5.74/S21^0.9))^2)</f>
        <v/>
      </c>
      <c r="U21" s="11">
        <f>IF(R21=0,0,T21*R21/(O21/1000)*P21^2/(2*Datos!$B$45))</f>
        <v/>
      </c>
      <c r="V21" s="19" t="n">
        <v>0</v>
      </c>
      <c r="W21" s="11">
        <f>V21*P21^2/(2*Datos!$B$45)</f>
        <v/>
      </c>
      <c r="X21" s="11">
        <f>U21+W21</f>
        <v/>
      </c>
    </row>
    <row r="22">
      <c r="A22" s="8" t="inlineStr">
        <is>
          <t>MDL5</t>
        </is>
      </c>
      <c r="B22" s="4" t="inlineStr">
        <is>
          <t>Montante directo O: tramo hasta planta 5</t>
        </is>
      </c>
      <c r="C22" s="4" t="inlineStr">
        <is>
          <t>AF</t>
        </is>
      </c>
      <c r="D22" s="4" t="inlineStr">
        <is>
          <t>MC</t>
        </is>
      </c>
      <c r="E22" s="5" t="n">
        <v>36</v>
      </c>
      <c r="F22" s="5" t="n">
        <v>6</v>
      </c>
      <c r="G22" s="5" t="n">
        <v>0</v>
      </c>
      <c r="H22" s="9" t="n">
        <v>0</v>
      </c>
      <c r="I22" s="11">
        <f>IF(C22="AF",E22*Locales!$L$4+F22*Locales!$L$5+G22*Locales!$L$6,E22*Locales!$M$4+F22*Locales!$M$5+G22*Locales!$M$6)+H22</f>
        <v/>
      </c>
      <c r="J22" s="9" t="n">
        <v>0</v>
      </c>
      <c r="K22" s="11">
        <f>MAX(J22,IF(I22&lt;=0,0,MIN(I22,IF(I22&lt;=20,Datos!$B$25*I22^Datos!$C$25+Datos!$D$25,Datos!$B$26*I22^Datos!$C$26+Datos!$D$26))))</f>
        <v/>
      </c>
      <c r="L22" s="19" t="n">
        <v>1</v>
      </c>
      <c r="M22" s="16">
        <f>SQRT(4*K22/1000/(PI()*L22))*1000</f>
        <v/>
      </c>
      <c r="N22" s="4">
        <f>IF(D22="MC",INDEX(Tubos!$B$4:$B$12,MIN(COUNTIF(Tubos!$C$4:$C$12,"&lt;"&amp;M22)+1,9)),IF(D22="PE",INDEX(Tubos!$B$15:$B$21,MIN(COUNTIF(Tubos!$C$15:$C$21,"&lt;"&amp;M22)+1,7)),INDEX(Tubos!$B$24:$B$33,MIN(COUNTIF(Tubos!$C$24:$C$33,"&lt;"&amp;M22)+1,10))))</f>
        <v/>
      </c>
      <c r="O22" s="16">
        <f>IF(D22="MC",INDEX(Tubos!$C$4:$C$12,MIN(COUNTIF(Tubos!$C$4:$C$12,"&lt;"&amp;M22)+1,9)),IF(D22="PE",INDEX(Tubos!$C$15:$C$21,MIN(COUNTIF(Tubos!$C$15:$C$21,"&lt;"&amp;M22)+1,7)),INDEX(Tubos!$C$24:$C$33,MIN(COUNTIF(Tubos!$C$24:$C$33,"&lt;"&amp;M22)+1,10))))</f>
        <v/>
      </c>
      <c r="P22" s="13">
        <f>K22/1000/(PI()*(O22/1000)^2/4)</f>
        <v/>
      </c>
      <c r="Q22" s="20" t="n">
        <v>3.3</v>
      </c>
      <c r="R22" s="13">
        <f>Q22*Datos!$B$17</f>
        <v/>
      </c>
      <c r="S22" s="21">
        <f>P22*O22/1000/IF(C22="AF",Datos!$B$46,Datos!$B$47)</f>
        <v/>
      </c>
      <c r="T22" s="22">
        <f>IF(S22&lt;=0,0,0.25/(LOG10(Datos!$B$48/(3.7*O22/1000)+5.74/S22^0.9))^2)</f>
        <v/>
      </c>
      <c r="U22" s="11">
        <f>IF(R22=0,0,T22*R22/(O22/1000)*P22^2/(2*Datos!$B$45))</f>
        <v/>
      </c>
      <c r="V22" s="19" t="n">
        <v>0</v>
      </c>
      <c r="W22" s="11">
        <f>V22*P22^2/(2*Datos!$B$45)</f>
        <v/>
      </c>
      <c r="X22" s="11">
        <f>U22+W22</f>
        <v/>
      </c>
    </row>
    <row r="23">
      <c r="A23" s="8" t="inlineStr">
        <is>
          <t>MDR5</t>
        </is>
      </c>
      <c r="B23" s="4" t="inlineStr">
        <is>
          <t>Montante directo E: tramo hasta planta 5</t>
        </is>
      </c>
      <c r="C23" s="4" t="inlineStr">
        <is>
          <t>AF</t>
        </is>
      </c>
      <c r="D23" s="4" t="inlineStr">
        <is>
          <t>MC</t>
        </is>
      </c>
      <c r="E23" s="5" t="n">
        <v>36</v>
      </c>
      <c r="F23" s="5" t="n">
        <v>0</v>
      </c>
      <c r="G23" s="5" t="n">
        <v>3</v>
      </c>
      <c r="H23" s="9" t="n">
        <v>0</v>
      </c>
      <c r="I23" s="11">
        <f>IF(C23="AF",E23*Locales!$L$4+F23*Locales!$L$5+G23*Locales!$L$6,E23*Locales!$M$4+F23*Locales!$M$5+G23*Locales!$M$6)+H23</f>
        <v/>
      </c>
      <c r="J23" s="9" t="n">
        <v>0</v>
      </c>
      <c r="K23" s="11">
        <f>MAX(J23,IF(I23&lt;=0,0,MIN(I23,IF(I23&lt;=20,Datos!$B$25*I23^Datos!$C$25+Datos!$D$25,Datos!$B$26*I23^Datos!$C$26+Datos!$D$26))))</f>
        <v/>
      </c>
      <c r="L23" s="19" t="n">
        <v>1</v>
      </c>
      <c r="M23" s="16">
        <f>SQRT(4*K23/1000/(PI()*L23))*1000</f>
        <v/>
      </c>
      <c r="N23" s="4">
        <f>IF(D23="MC",INDEX(Tubos!$B$4:$B$12,MIN(COUNTIF(Tubos!$C$4:$C$12,"&lt;"&amp;M23)+1,9)),IF(D23="PE",INDEX(Tubos!$B$15:$B$21,MIN(COUNTIF(Tubos!$C$15:$C$21,"&lt;"&amp;M23)+1,7)),INDEX(Tubos!$B$24:$B$33,MIN(COUNTIF(Tubos!$C$24:$C$33,"&lt;"&amp;M23)+1,10))))</f>
        <v/>
      </c>
      <c r="O23" s="16">
        <f>IF(D23="MC",INDEX(Tubos!$C$4:$C$12,MIN(COUNTIF(Tubos!$C$4:$C$12,"&lt;"&amp;M23)+1,9)),IF(D23="PE",INDEX(Tubos!$C$15:$C$21,MIN(COUNTIF(Tubos!$C$15:$C$21,"&lt;"&amp;M23)+1,7)),INDEX(Tubos!$C$24:$C$33,MIN(COUNTIF(Tubos!$C$24:$C$33,"&lt;"&amp;M23)+1,10))))</f>
        <v/>
      </c>
      <c r="P23" s="13">
        <f>K23/1000/(PI()*(O23/1000)^2/4)</f>
        <v/>
      </c>
      <c r="Q23" s="20" t="n">
        <v>3.3</v>
      </c>
      <c r="R23" s="13">
        <f>Q23*Datos!$B$17</f>
        <v/>
      </c>
      <c r="S23" s="21">
        <f>P23*O23/1000/IF(C23="AF",Datos!$B$46,Datos!$B$47)</f>
        <v/>
      </c>
      <c r="T23" s="22">
        <f>IF(S23&lt;=0,0,0.25/(LOG10(Datos!$B$48/(3.7*O23/1000)+5.74/S23^0.9))^2)</f>
        <v/>
      </c>
      <c r="U23" s="11">
        <f>IF(R23=0,0,T23*R23/(O23/1000)*P23^2/(2*Datos!$B$45))</f>
        <v/>
      </c>
      <c r="V23" s="19" t="n">
        <v>0</v>
      </c>
      <c r="W23" s="11">
        <f>V23*P23^2/(2*Datos!$B$45)</f>
        <v/>
      </c>
      <c r="X23" s="11">
        <f>U23+W23</f>
        <v/>
      </c>
    </row>
    <row r="24">
      <c r="A24" s="8" t="inlineStr">
        <is>
          <t>MDL6</t>
        </is>
      </c>
      <c r="B24" s="4" t="inlineStr">
        <is>
          <t>Montante directo O: tramo hasta planta 6</t>
        </is>
      </c>
      <c r="C24" s="4" t="inlineStr">
        <is>
          <t>AF</t>
        </is>
      </c>
      <c r="D24" s="4" t="inlineStr">
        <is>
          <t>MC</t>
        </is>
      </c>
      <c r="E24" s="5" t="n">
        <v>24</v>
      </c>
      <c r="F24" s="5" t="n">
        <v>4</v>
      </c>
      <c r="G24" s="5" t="n">
        <v>0</v>
      </c>
      <c r="H24" s="9" t="n">
        <v>0</v>
      </c>
      <c r="I24" s="11">
        <f>IF(C24="AF",E24*Locales!$L$4+F24*Locales!$L$5+G24*Locales!$L$6,E24*Locales!$M$4+F24*Locales!$M$5+G24*Locales!$M$6)+H24</f>
        <v/>
      </c>
      <c r="J24" s="9" t="n">
        <v>0</v>
      </c>
      <c r="K24" s="11">
        <f>MAX(J24,IF(I24&lt;=0,0,MIN(I24,IF(I24&lt;=20,Datos!$B$25*I24^Datos!$C$25+Datos!$D$25,Datos!$B$26*I24^Datos!$C$26+Datos!$D$26))))</f>
        <v/>
      </c>
      <c r="L24" s="19" t="n">
        <v>1</v>
      </c>
      <c r="M24" s="16">
        <f>SQRT(4*K24/1000/(PI()*L24))*1000</f>
        <v/>
      </c>
      <c r="N24" s="4">
        <f>IF(D24="MC",INDEX(Tubos!$B$4:$B$12,MIN(COUNTIF(Tubos!$C$4:$C$12,"&lt;"&amp;M24)+1,9)),IF(D24="PE",INDEX(Tubos!$B$15:$B$21,MIN(COUNTIF(Tubos!$C$15:$C$21,"&lt;"&amp;M24)+1,7)),INDEX(Tubos!$B$24:$B$33,MIN(COUNTIF(Tubos!$C$24:$C$33,"&lt;"&amp;M24)+1,10))))</f>
        <v/>
      </c>
      <c r="O24" s="16">
        <f>IF(D24="MC",INDEX(Tubos!$C$4:$C$12,MIN(COUNTIF(Tubos!$C$4:$C$12,"&lt;"&amp;M24)+1,9)),IF(D24="PE",INDEX(Tubos!$C$15:$C$21,MIN(COUNTIF(Tubos!$C$15:$C$21,"&lt;"&amp;M24)+1,7)),INDEX(Tubos!$C$24:$C$33,MIN(COUNTIF(Tubos!$C$24:$C$33,"&lt;"&amp;M24)+1,10))))</f>
        <v/>
      </c>
      <c r="P24" s="13">
        <f>K24/1000/(PI()*(O24/1000)^2/4)</f>
        <v/>
      </c>
      <c r="Q24" s="20" t="n">
        <v>3.3</v>
      </c>
      <c r="R24" s="13">
        <f>Q24*Datos!$B$17</f>
        <v/>
      </c>
      <c r="S24" s="21">
        <f>P24*O24/1000/IF(C24="AF",Datos!$B$46,Datos!$B$47)</f>
        <v/>
      </c>
      <c r="T24" s="22">
        <f>IF(S24&lt;=0,0,0.25/(LOG10(Datos!$B$48/(3.7*O24/1000)+5.74/S24^0.9))^2)</f>
        <v/>
      </c>
      <c r="U24" s="11">
        <f>IF(R24=0,0,T24*R24/(O24/1000)*P24^2/(2*Datos!$B$45))</f>
        <v/>
      </c>
      <c r="V24" s="19" t="n">
        <v>0</v>
      </c>
      <c r="W24" s="11">
        <f>V24*P24^2/(2*Datos!$B$45)</f>
        <v/>
      </c>
      <c r="X24" s="11">
        <f>U24+W24</f>
        <v/>
      </c>
    </row>
    <row r="25">
      <c r="A25" s="8" t="inlineStr">
        <is>
          <t>MDR6</t>
        </is>
      </c>
      <c r="B25" s="4" t="inlineStr">
        <is>
          <t>Montante directo E: tramo hasta planta 6</t>
        </is>
      </c>
      <c r="C25" s="4" t="inlineStr">
        <is>
          <t>AF</t>
        </is>
      </c>
      <c r="D25" s="4" t="inlineStr">
        <is>
          <t>MC</t>
        </is>
      </c>
      <c r="E25" s="5" t="n">
        <v>24</v>
      </c>
      <c r="F25" s="5" t="n">
        <v>0</v>
      </c>
      <c r="G25" s="5" t="n">
        <v>2</v>
      </c>
      <c r="H25" s="9" t="n">
        <v>0</v>
      </c>
      <c r="I25" s="11">
        <f>IF(C25="AF",E25*Locales!$L$4+F25*Locales!$L$5+G25*Locales!$L$6,E25*Locales!$M$4+F25*Locales!$M$5+G25*Locales!$M$6)+H25</f>
        <v/>
      </c>
      <c r="J25" s="9" t="n">
        <v>0</v>
      </c>
      <c r="K25" s="11">
        <f>MAX(J25,IF(I25&lt;=0,0,MIN(I25,IF(I25&lt;=20,Datos!$B$25*I25^Datos!$C$25+Datos!$D$25,Datos!$B$26*I25^Datos!$C$26+Datos!$D$26))))</f>
        <v/>
      </c>
      <c r="L25" s="19" t="n">
        <v>1</v>
      </c>
      <c r="M25" s="16">
        <f>SQRT(4*K25/1000/(PI()*L25))*1000</f>
        <v/>
      </c>
      <c r="N25" s="4">
        <f>IF(D25="MC",INDEX(Tubos!$B$4:$B$12,MIN(COUNTIF(Tubos!$C$4:$C$12,"&lt;"&amp;M25)+1,9)),IF(D25="PE",INDEX(Tubos!$B$15:$B$21,MIN(COUNTIF(Tubos!$C$15:$C$21,"&lt;"&amp;M25)+1,7)),INDEX(Tubos!$B$24:$B$33,MIN(COUNTIF(Tubos!$C$24:$C$33,"&lt;"&amp;M25)+1,10))))</f>
        <v/>
      </c>
      <c r="O25" s="16">
        <f>IF(D25="MC",INDEX(Tubos!$C$4:$C$12,MIN(COUNTIF(Tubos!$C$4:$C$12,"&lt;"&amp;M25)+1,9)),IF(D25="PE",INDEX(Tubos!$C$15:$C$21,MIN(COUNTIF(Tubos!$C$15:$C$21,"&lt;"&amp;M25)+1,7)),INDEX(Tubos!$C$24:$C$33,MIN(COUNTIF(Tubos!$C$24:$C$33,"&lt;"&amp;M25)+1,10))))</f>
        <v/>
      </c>
      <c r="P25" s="13">
        <f>K25/1000/(PI()*(O25/1000)^2/4)</f>
        <v/>
      </c>
      <c r="Q25" s="20" t="n">
        <v>3.3</v>
      </c>
      <c r="R25" s="13">
        <f>Q25*Datos!$B$17</f>
        <v/>
      </c>
      <c r="S25" s="21">
        <f>P25*O25/1000/IF(C25="AF",Datos!$B$46,Datos!$B$47)</f>
        <v/>
      </c>
      <c r="T25" s="22">
        <f>IF(S25&lt;=0,0,0.25/(LOG10(Datos!$B$48/(3.7*O25/1000)+5.74/S25^0.9))^2)</f>
        <v/>
      </c>
      <c r="U25" s="11">
        <f>IF(R25=0,0,T25*R25/(O25/1000)*P25^2/(2*Datos!$B$45))</f>
        <v/>
      </c>
      <c r="V25" s="19" t="n">
        <v>0</v>
      </c>
      <c r="W25" s="11">
        <f>V25*P25^2/(2*Datos!$B$45)</f>
        <v/>
      </c>
      <c r="X25" s="11">
        <f>U25+W25</f>
        <v/>
      </c>
    </row>
    <row r="26">
      <c r="A26" s="8" t="inlineStr">
        <is>
          <t>MDL7</t>
        </is>
      </c>
      <c r="B26" s="4" t="inlineStr">
        <is>
          <t>Montante directo O: tramo hasta planta 7</t>
        </is>
      </c>
      <c r="C26" s="4" t="inlineStr">
        <is>
          <t>AF</t>
        </is>
      </c>
      <c r="D26" s="4" t="inlineStr">
        <is>
          <t>MC</t>
        </is>
      </c>
      <c r="E26" s="5" t="n">
        <v>12</v>
      </c>
      <c r="F26" s="5" t="n">
        <v>2</v>
      </c>
      <c r="G26" s="5" t="n">
        <v>0</v>
      </c>
      <c r="H26" s="9" t="n">
        <v>0</v>
      </c>
      <c r="I26" s="11">
        <f>IF(C26="AF",E26*Locales!$L$4+F26*Locales!$L$5+G26*Locales!$L$6,E26*Locales!$M$4+F26*Locales!$M$5+G26*Locales!$M$6)+H26</f>
        <v/>
      </c>
      <c r="J26" s="9" t="n">
        <v>0</v>
      </c>
      <c r="K26" s="11">
        <f>MAX(J26,IF(I26&lt;=0,0,MIN(I26,IF(I26&lt;=20,Datos!$B$25*I26^Datos!$C$25+Datos!$D$25,Datos!$B$26*I26^Datos!$C$26+Datos!$D$26))))</f>
        <v/>
      </c>
      <c r="L26" s="19" t="n">
        <v>1</v>
      </c>
      <c r="M26" s="16">
        <f>SQRT(4*K26/1000/(PI()*L26))*1000</f>
        <v/>
      </c>
      <c r="N26" s="4">
        <f>IF(D26="MC",INDEX(Tubos!$B$4:$B$12,MIN(COUNTIF(Tubos!$C$4:$C$12,"&lt;"&amp;M26)+1,9)),IF(D26="PE",INDEX(Tubos!$B$15:$B$21,MIN(COUNTIF(Tubos!$C$15:$C$21,"&lt;"&amp;M26)+1,7)),INDEX(Tubos!$B$24:$B$33,MIN(COUNTIF(Tubos!$C$24:$C$33,"&lt;"&amp;M26)+1,10))))</f>
        <v/>
      </c>
      <c r="O26" s="16">
        <f>IF(D26="MC",INDEX(Tubos!$C$4:$C$12,MIN(COUNTIF(Tubos!$C$4:$C$12,"&lt;"&amp;M26)+1,9)),IF(D26="PE",INDEX(Tubos!$C$15:$C$21,MIN(COUNTIF(Tubos!$C$15:$C$21,"&lt;"&amp;M26)+1,7)),INDEX(Tubos!$C$24:$C$33,MIN(COUNTIF(Tubos!$C$24:$C$33,"&lt;"&amp;M26)+1,10))))</f>
        <v/>
      </c>
      <c r="P26" s="13">
        <f>K26/1000/(PI()*(O26/1000)^2/4)</f>
        <v/>
      </c>
      <c r="Q26" s="20" t="n">
        <v>3.3</v>
      </c>
      <c r="R26" s="13">
        <f>Q26*Datos!$B$17</f>
        <v/>
      </c>
      <c r="S26" s="21">
        <f>P26*O26/1000/IF(C26="AF",Datos!$B$46,Datos!$B$47)</f>
        <v/>
      </c>
      <c r="T26" s="22">
        <f>IF(S26&lt;=0,0,0.25/(LOG10(Datos!$B$48/(3.7*O26/1000)+5.74/S26^0.9))^2)</f>
        <v/>
      </c>
      <c r="U26" s="11">
        <f>IF(R26=0,0,T26*R26/(O26/1000)*P26^2/(2*Datos!$B$45))</f>
        <v/>
      </c>
      <c r="V26" s="19" t="n">
        <v>0</v>
      </c>
      <c r="W26" s="11">
        <f>V26*P26^2/(2*Datos!$B$45)</f>
        <v/>
      </c>
      <c r="X26" s="11">
        <f>U26+W26</f>
        <v/>
      </c>
    </row>
    <row r="27">
      <c r="A27" s="8" t="inlineStr">
        <is>
          <t>MDR7</t>
        </is>
      </c>
      <c r="B27" s="4" t="inlineStr">
        <is>
          <t>Montante directo E: tramo hasta planta 7</t>
        </is>
      </c>
      <c r="C27" s="4" t="inlineStr">
        <is>
          <t>AF</t>
        </is>
      </c>
      <c r="D27" s="4" t="inlineStr">
        <is>
          <t>MC</t>
        </is>
      </c>
      <c r="E27" s="5" t="n">
        <v>12</v>
      </c>
      <c r="F27" s="5" t="n">
        <v>0</v>
      </c>
      <c r="G27" s="5" t="n">
        <v>1</v>
      </c>
      <c r="H27" s="9" t="n">
        <v>0</v>
      </c>
      <c r="I27" s="11">
        <f>IF(C27="AF",E27*Locales!$L$4+F27*Locales!$L$5+G27*Locales!$L$6,E27*Locales!$M$4+F27*Locales!$M$5+G27*Locales!$M$6)+H27</f>
        <v/>
      </c>
      <c r="J27" s="9" t="n">
        <v>0</v>
      </c>
      <c r="K27" s="11">
        <f>MAX(J27,IF(I27&lt;=0,0,MIN(I27,IF(I27&lt;=20,Datos!$B$25*I27^Datos!$C$25+Datos!$D$25,Datos!$B$26*I27^Datos!$C$26+Datos!$D$26))))</f>
        <v/>
      </c>
      <c r="L27" s="19" t="n">
        <v>1</v>
      </c>
      <c r="M27" s="16">
        <f>SQRT(4*K27/1000/(PI()*L27))*1000</f>
        <v/>
      </c>
      <c r="N27" s="4">
        <f>IF(D27="MC",INDEX(Tubos!$B$4:$B$12,MIN(COUNTIF(Tubos!$C$4:$C$12,"&lt;"&amp;M27)+1,9)),IF(D27="PE",INDEX(Tubos!$B$15:$B$21,MIN(COUNTIF(Tubos!$C$15:$C$21,"&lt;"&amp;M27)+1,7)),INDEX(Tubos!$B$24:$B$33,MIN(COUNTIF(Tubos!$C$24:$C$33,"&lt;"&amp;M27)+1,10))))</f>
        <v/>
      </c>
      <c r="O27" s="16">
        <f>IF(D27="MC",INDEX(Tubos!$C$4:$C$12,MIN(COUNTIF(Tubos!$C$4:$C$12,"&lt;"&amp;M27)+1,9)),IF(D27="PE",INDEX(Tubos!$C$15:$C$21,MIN(COUNTIF(Tubos!$C$15:$C$21,"&lt;"&amp;M27)+1,7)),INDEX(Tubos!$C$24:$C$33,MIN(COUNTIF(Tubos!$C$24:$C$33,"&lt;"&amp;M27)+1,10))))</f>
        <v/>
      </c>
      <c r="P27" s="13">
        <f>K27/1000/(PI()*(O27/1000)^2/4)</f>
        <v/>
      </c>
      <c r="Q27" s="20" t="n">
        <v>3.3</v>
      </c>
      <c r="R27" s="13">
        <f>Q27*Datos!$B$17</f>
        <v/>
      </c>
      <c r="S27" s="21">
        <f>P27*O27/1000/IF(C27="AF",Datos!$B$46,Datos!$B$47)</f>
        <v/>
      </c>
      <c r="T27" s="22">
        <f>IF(S27&lt;=0,0,0.25/(LOG10(Datos!$B$48/(3.7*O27/1000)+5.74/S27^0.9))^2)</f>
        <v/>
      </c>
      <c r="U27" s="11">
        <f>IF(R27=0,0,T27*R27/(O27/1000)*P27^2/(2*Datos!$B$45))</f>
        <v/>
      </c>
      <c r="V27" s="19" t="n">
        <v>0</v>
      </c>
      <c r="W27" s="11">
        <f>V27*P27^2/(2*Datos!$B$45)</f>
        <v/>
      </c>
      <c r="X27" s="11">
        <f>U27+W27</f>
        <v/>
      </c>
    </row>
    <row r="28">
      <c r="A28" s="8" t="inlineStr">
        <is>
          <t>BV0</t>
        </is>
      </c>
      <c r="B28" s="4" t="inlineStr">
        <is>
          <t>Colector impulsión grupo (AF alta + alimentación ACS)</t>
        </is>
      </c>
      <c r="C28" s="4" t="inlineStr">
        <is>
          <t>AF</t>
        </is>
      </c>
      <c r="D28" s="4" t="inlineStr">
        <is>
          <t>MC</t>
        </is>
      </c>
      <c r="E28" s="5" t="n">
        <v>96</v>
      </c>
      <c r="F28" s="5" t="n">
        <v>8</v>
      </c>
      <c r="G28" s="5" t="n">
        <v>4</v>
      </c>
      <c r="H28" s="11">
        <f>Plantas!$R$17</f>
        <v/>
      </c>
      <c r="I28" s="11">
        <f>IF(C28="AF",E28*Locales!$L$4+F28*Locales!$L$5+G28*Locales!$L$6,E28*Locales!$M$4+F28*Locales!$M$5+G28*Locales!$M$6)+H28</f>
        <v/>
      </c>
      <c r="J28" s="9" t="n">
        <v>0</v>
      </c>
      <c r="K28" s="11">
        <f>MAX(J28,IF(I28&lt;=0,0,MIN(I28,IF(I28&lt;=20,Datos!$B$25*I28^Datos!$C$25+Datos!$D$25,Datos!$B$26*I28^Datos!$C$26+Datos!$D$26))))</f>
        <v/>
      </c>
      <c r="L28" s="19" t="n">
        <v>1</v>
      </c>
      <c r="M28" s="16">
        <f>SQRT(4*K28/1000/(PI()*L28))*1000</f>
        <v/>
      </c>
      <c r="N28" s="4">
        <f>IF(D28="MC",INDEX(Tubos!$B$4:$B$12,MIN(COUNTIF(Tubos!$C$4:$C$12,"&lt;"&amp;M28)+1,9)),IF(D28="PE",INDEX(Tubos!$B$15:$B$21,MIN(COUNTIF(Tubos!$C$15:$C$21,"&lt;"&amp;M28)+1,7)),INDEX(Tubos!$B$24:$B$33,MIN(COUNTIF(Tubos!$C$24:$C$33,"&lt;"&amp;M28)+1,10))))</f>
        <v/>
      </c>
      <c r="O28" s="16">
        <f>IF(D28="MC",INDEX(Tubos!$C$4:$C$12,MIN(COUNTIF(Tubos!$C$4:$C$12,"&lt;"&amp;M28)+1,9)),IF(D28="PE",INDEX(Tubos!$C$15:$C$21,MIN(COUNTIF(Tubos!$C$15:$C$21,"&lt;"&amp;M28)+1,7)),INDEX(Tubos!$C$24:$C$33,MIN(COUNTIF(Tubos!$C$24:$C$33,"&lt;"&amp;M28)+1,10))))</f>
        <v/>
      </c>
      <c r="P28" s="13">
        <f>K28/1000/(PI()*(O28/1000)^2/4)</f>
        <v/>
      </c>
      <c r="Q28" s="20" t="n">
        <v>3</v>
      </c>
      <c r="R28" s="13">
        <f>Q28*Datos!$B$17</f>
        <v/>
      </c>
      <c r="S28" s="21">
        <f>P28*O28/1000/IF(C28="AF",Datos!$B$46,Datos!$B$47)</f>
        <v/>
      </c>
      <c r="T28" s="22">
        <f>IF(S28&lt;=0,0,0.25/(LOG10(Datos!$B$48/(3.7*O28/1000)+5.74/S28^0.9))^2)</f>
        <v/>
      </c>
      <c r="U28" s="11">
        <f>IF(R28=0,0,T28*R28/(O28/1000)*P28^2/(2*Datos!$B$45))</f>
        <v/>
      </c>
      <c r="V28" s="19" t="n">
        <v>0.3</v>
      </c>
      <c r="W28" s="11">
        <f>V28*P28^2/(2*Datos!$B$45)</f>
        <v/>
      </c>
      <c r="X28" s="11">
        <f>U28+W28</f>
        <v/>
      </c>
    </row>
    <row r="29">
      <c r="A29" s="8" t="inlineStr">
        <is>
          <t>BL1</t>
        </is>
      </c>
      <c r="B29" s="4" t="inlineStr">
        <is>
          <t>Bombeo: cuarto AF → base patinillo O</t>
        </is>
      </c>
      <c r="C29" s="4" t="inlineStr">
        <is>
          <t>AF</t>
        </is>
      </c>
      <c r="D29" s="4" t="inlineStr">
        <is>
          <t>MC</t>
        </is>
      </c>
      <c r="E29" s="5" t="n">
        <v>48</v>
      </c>
      <c r="F29" s="5" t="n">
        <v>8</v>
      </c>
      <c r="G29" s="5" t="n">
        <v>0</v>
      </c>
      <c r="H29" s="9" t="n">
        <v>0</v>
      </c>
      <c r="I29" s="11">
        <f>IF(C29="AF",E29*Locales!$L$4+F29*Locales!$L$5+G29*Locales!$L$6,E29*Locales!$M$4+F29*Locales!$M$5+G29*Locales!$M$6)+H29</f>
        <v/>
      </c>
      <c r="J29" s="9" t="n">
        <v>0</v>
      </c>
      <c r="K29" s="11">
        <f>MAX(J29,IF(I29&lt;=0,0,MIN(I29,IF(I29&lt;=20,Datos!$B$25*I29^Datos!$C$25+Datos!$D$25,Datos!$B$26*I29^Datos!$C$26+Datos!$D$26))))</f>
        <v/>
      </c>
      <c r="L29" s="19" t="n">
        <v>1</v>
      </c>
      <c r="M29" s="16">
        <f>SQRT(4*K29/1000/(PI()*L29))*1000</f>
        <v/>
      </c>
      <c r="N29" s="4">
        <f>IF(D29="MC",INDEX(Tubos!$B$4:$B$12,MIN(COUNTIF(Tubos!$C$4:$C$12,"&lt;"&amp;M29)+1,9)),IF(D29="PE",INDEX(Tubos!$B$15:$B$21,MIN(COUNTIF(Tubos!$C$15:$C$21,"&lt;"&amp;M29)+1,7)),INDEX(Tubos!$B$24:$B$33,MIN(COUNTIF(Tubos!$C$24:$C$33,"&lt;"&amp;M29)+1,10))))</f>
        <v/>
      </c>
      <c r="O29" s="16">
        <f>IF(D29="MC",INDEX(Tubos!$C$4:$C$12,MIN(COUNTIF(Tubos!$C$4:$C$12,"&lt;"&amp;M29)+1,9)),IF(D29="PE",INDEX(Tubos!$C$15:$C$21,MIN(COUNTIF(Tubos!$C$15:$C$21,"&lt;"&amp;M29)+1,7)),INDEX(Tubos!$C$24:$C$33,MIN(COUNTIF(Tubos!$C$24:$C$33,"&lt;"&amp;M29)+1,10))))</f>
        <v/>
      </c>
      <c r="P29" s="13">
        <f>K29/1000/(PI()*(O29/1000)^2/4)</f>
        <v/>
      </c>
      <c r="Q29" s="20" t="n">
        <v>12</v>
      </c>
      <c r="R29" s="13">
        <f>Q29*Datos!$B$17</f>
        <v/>
      </c>
      <c r="S29" s="21">
        <f>P29*O29/1000/IF(C29="AF",Datos!$B$46,Datos!$B$47)</f>
        <v/>
      </c>
      <c r="T29" s="22">
        <f>IF(S29&lt;=0,0,0.25/(LOG10(Datos!$B$48/(3.7*O29/1000)+5.74/S29^0.9))^2)</f>
        <v/>
      </c>
      <c r="U29" s="11">
        <f>IF(R29=0,0,T29*R29/(O29/1000)*P29^2/(2*Datos!$B$45))</f>
        <v/>
      </c>
      <c r="V29" s="19" t="n">
        <v>2.8</v>
      </c>
      <c r="W29" s="11">
        <f>V29*P29^2/(2*Datos!$B$45)</f>
        <v/>
      </c>
      <c r="X29" s="11">
        <f>U29+W29</f>
        <v/>
      </c>
    </row>
    <row r="30">
      <c r="A30" s="8" t="inlineStr">
        <is>
          <t>BR1</t>
        </is>
      </c>
      <c r="B30" s="4" t="inlineStr">
        <is>
          <t>Bombeo: cuarto AF → base patinillo E</t>
        </is>
      </c>
      <c r="C30" s="4" t="inlineStr">
        <is>
          <t>AF</t>
        </is>
      </c>
      <c r="D30" s="4" t="inlineStr">
        <is>
          <t>MC</t>
        </is>
      </c>
      <c r="E30" s="5" t="n">
        <v>48</v>
      </c>
      <c r="F30" s="5" t="n">
        <v>0</v>
      </c>
      <c r="G30" s="5" t="n">
        <v>4</v>
      </c>
      <c r="H30" s="9" t="n">
        <v>0</v>
      </c>
      <c r="I30" s="11">
        <f>IF(C30="AF",E30*Locales!$L$4+F30*Locales!$L$5+G30*Locales!$L$6,E30*Locales!$M$4+F30*Locales!$M$5+G30*Locales!$M$6)+H30</f>
        <v/>
      </c>
      <c r="J30" s="9" t="n">
        <v>0</v>
      </c>
      <c r="K30" s="11">
        <f>MAX(J30,IF(I30&lt;=0,0,MIN(I30,IF(I30&lt;=20,Datos!$B$25*I30^Datos!$C$25+Datos!$D$25,Datos!$B$26*I30^Datos!$C$26+Datos!$D$26))))</f>
        <v/>
      </c>
      <c r="L30" s="19" t="n">
        <v>1</v>
      </c>
      <c r="M30" s="16">
        <f>SQRT(4*K30/1000/(PI()*L30))*1000</f>
        <v/>
      </c>
      <c r="N30" s="4">
        <f>IF(D30="MC",INDEX(Tubos!$B$4:$B$12,MIN(COUNTIF(Tubos!$C$4:$C$12,"&lt;"&amp;M30)+1,9)),IF(D30="PE",INDEX(Tubos!$B$15:$B$21,MIN(COUNTIF(Tubos!$C$15:$C$21,"&lt;"&amp;M30)+1,7)),INDEX(Tubos!$B$24:$B$33,MIN(COUNTIF(Tubos!$C$24:$C$33,"&lt;"&amp;M30)+1,10))))</f>
        <v/>
      </c>
      <c r="O30" s="16">
        <f>IF(D30="MC",INDEX(Tubos!$C$4:$C$12,MIN(COUNTIF(Tubos!$C$4:$C$12,"&lt;"&amp;M30)+1,9)),IF(D30="PE",INDEX(Tubos!$C$15:$C$21,MIN(COUNTIF(Tubos!$C$15:$C$21,"&lt;"&amp;M30)+1,7)),INDEX(Tubos!$C$24:$C$33,MIN(COUNTIF(Tubos!$C$24:$C$33,"&lt;"&amp;M30)+1,10))))</f>
        <v/>
      </c>
      <c r="P30" s="13">
        <f>K30/1000/(PI()*(O30/1000)^2/4)</f>
        <v/>
      </c>
      <c r="Q30" s="20" t="n">
        <v>48</v>
      </c>
      <c r="R30" s="13">
        <f>Q30*Datos!$B$17</f>
        <v/>
      </c>
      <c r="S30" s="21">
        <f>P30*O30/1000/IF(C30="AF",Datos!$B$46,Datos!$B$47)</f>
        <v/>
      </c>
      <c r="T30" s="22">
        <f>IF(S30&lt;=0,0,0.25/(LOG10(Datos!$B$48/(3.7*O30/1000)+5.74/S30^0.9))^2)</f>
        <v/>
      </c>
      <c r="U30" s="11">
        <f>IF(R30=0,0,T30*R30/(O30/1000)*P30^2/(2*Datos!$B$45))</f>
        <v/>
      </c>
      <c r="V30" s="19" t="n">
        <v>2.8</v>
      </c>
      <c r="W30" s="11">
        <f>V30*P30^2/(2*Datos!$B$45)</f>
        <v/>
      </c>
      <c r="X30" s="11">
        <f>U30+W30</f>
        <v/>
      </c>
    </row>
    <row r="31">
      <c r="A31" s="8" t="inlineStr">
        <is>
          <t>MBL8</t>
        </is>
      </c>
      <c r="B31" s="4" t="inlineStr">
        <is>
          <t>Montante bombeo O: tramo hasta planta 8</t>
        </is>
      </c>
      <c r="C31" s="4" t="inlineStr">
        <is>
          <t>AF</t>
        </is>
      </c>
      <c r="D31" s="4" t="inlineStr">
        <is>
          <t>MC</t>
        </is>
      </c>
      <c r="E31" s="5" t="n">
        <v>48</v>
      </c>
      <c r="F31" s="5" t="n">
        <v>8</v>
      </c>
      <c r="G31" s="5" t="n">
        <v>0</v>
      </c>
      <c r="H31" s="9" t="n">
        <v>0</v>
      </c>
      <c r="I31" s="11">
        <f>IF(C31="AF",E31*Locales!$L$4+F31*Locales!$L$5+G31*Locales!$L$6,E31*Locales!$M$4+F31*Locales!$M$5+G31*Locales!$M$6)+H31</f>
        <v/>
      </c>
      <c r="J31" s="9" t="n">
        <v>0</v>
      </c>
      <c r="K31" s="11">
        <f>MAX(J31,IF(I31&lt;=0,0,MIN(I31,IF(I31&lt;=20,Datos!$B$25*I31^Datos!$C$25+Datos!$D$25,Datos!$B$26*I31^Datos!$C$26+Datos!$D$26))))</f>
        <v/>
      </c>
      <c r="L31" s="19" t="n">
        <v>1</v>
      </c>
      <c r="M31" s="16">
        <f>SQRT(4*K31/1000/(PI()*L31))*1000</f>
        <v/>
      </c>
      <c r="N31" s="4">
        <f>IF(D31="MC",INDEX(Tubos!$B$4:$B$12,MIN(COUNTIF(Tubos!$C$4:$C$12,"&lt;"&amp;M31)+1,9)),IF(D31="PE",INDEX(Tubos!$B$15:$B$21,MIN(COUNTIF(Tubos!$C$15:$C$21,"&lt;"&amp;M31)+1,7)),INDEX(Tubos!$B$24:$B$33,MIN(COUNTIF(Tubos!$C$24:$C$33,"&lt;"&amp;M31)+1,10))))</f>
        <v/>
      </c>
      <c r="O31" s="16">
        <f>IF(D31="MC",INDEX(Tubos!$C$4:$C$12,MIN(COUNTIF(Tubos!$C$4:$C$12,"&lt;"&amp;M31)+1,9)),IF(D31="PE",INDEX(Tubos!$C$15:$C$21,MIN(COUNTIF(Tubos!$C$15:$C$21,"&lt;"&amp;M31)+1,7)),INDEX(Tubos!$C$24:$C$33,MIN(COUNTIF(Tubos!$C$24:$C$33,"&lt;"&amp;M31)+1,10))))</f>
        <v/>
      </c>
      <c r="P31" s="13">
        <f>K31/1000/(PI()*(O31/1000)^2/4)</f>
        <v/>
      </c>
      <c r="Q31" s="20" t="n">
        <v>30.4</v>
      </c>
      <c r="R31" s="13">
        <f>Q31*Datos!$B$17</f>
        <v/>
      </c>
      <c r="S31" s="21">
        <f>P31*O31/1000/IF(C31="AF",Datos!$B$46,Datos!$B$47)</f>
        <v/>
      </c>
      <c r="T31" s="22">
        <f>IF(S31&lt;=0,0,0.25/(LOG10(Datos!$B$48/(3.7*O31/1000)+5.74/S31^0.9))^2)</f>
        <v/>
      </c>
      <c r="U31" s="11">
        <f>IF(R31=0,0,T31*R31/(O31/1000)*P31^2/(2*Datos!$B$45))</f>
        <v/>
      </c>
      <c r="V31" s="19" t="n">
        <v>0</v>
      </c>
      <c r="W31" s="11">
        <f>V31*P31^2/(2*Datos!$B$45)</f>
        <v/>
      </c>
      <c r="X31" s="11">
        <f>U31+W31</f>
        <v/>
      </c>
    </row>
    <row r="32">
      <c r="A32" s="8" t="inlineStr">
        <is>
          <t>MBR8</t>
        </is>
      </c>
      <c r="B32" s="4" t="inlineStr">
        <is>
          <t>Montante bombeo E: tramo hasta planta 8</t>
        </is>
      </c>
      <c r="C32" s="4" t="inlineStr">
        <is>
          <t>AF</t>
        </is>
      </c>
      <c r="D32" s="4" t="inlineStr">
        <is>
          <t>MC</t>
        </is>
      </c>
      <c r="E32" s="5" t="n">
        <v>48</v>
      </c>
      <c r="F32" s="5" t="n">
        <v>0</v>
      </c>
      <c r="G32" s="5" t="n">
        <v>4</v>
      </c>
      <c r="H32" s="9" t="n">
        <v>0</v>
      </c>
      <c r="I32" s="11">
        <f>IF(C32="AF",E32*Locales!$L$4+F32*Locales!$L$5+G32*Locales!$L$6,E32*Locales!$M$4+F32*Locales!$M$5+G32*Locales!$M$6)+H32</f>
        <v/>
      </c>
      <c r="J32" s="9" t="n">
        <v>0</v>
      </c>
      <c r="K32" s="11">
        <f>MAX(J32,IF(I32&lt;=0,0,MIN(I32,IF(I32&lt;=20,Datos!$B$25*I32^Datos!$C$25+Datos!$D$25,Datos!$B$26*I32^Datos!$C$26+Datos!$D$26))))</f>
        <v/>
      </c>
      <c r="L32" s="19" t="n">
        <v>1</v>
      </c>
      <c r="M32" s="16">
        <f>SQRT(4*K32/1000/(PI()*L32))*1000</f>
        <v/>
      </c>
      <c r="N32" s="4">
        <f>IF(D32="MC",INDEX(Tubos!$B$4:$B$12,MIN(COUNTIF(Tubos!$C$4:$C$12,"&lt;"&amp;M32)+1,9)),IF(D32="PE",INDEX(Tubos!$B$15:$B$21,MIN(COUNTIF(Tubos!$C$15:$C$21,"&lt;"&amp;M32)+1,7)),INDEX(Tubos!$B$24:$B$33,MIN(COUNTIF(Tubos!$C$24:$C$33,"&lt;"&amp;M32)+1,10))))</f>
        <v/>
      </c>
      <c r="O32" s="16">
        <f>IF(D32="MC",INDEX(Tubos!$C$4:$C$12,MIN(COUNTIF(Tubos!$C$4:$C$12,"&lt;"&amp;M32)+1,9)),IF(D32="PE",INDEX(Tubos!$C$15:$C$21,MIN(COUNTIF(Tubos!$C$15:$C$21,"&lt;"&amp;M32)+1,7)),INDEX(Tubos!$C$24:$C$33,MIN(COUNTIF(Tubos!$C$24:$C$33,"&lt;"&amp;M32)+1,10))))</f>
        <v/>
      </c>
      <c r="P32" s="13">
        <f>K32/1000/(PI()*(O32/1000)^2/4)</f>
        <v/>
      </c>
      <c r="Q32" s="20" t="n">
        <v>30.4</v>
      </c>
      <c r="R32" s="13">
        <f>Q32*Datos!$B$17</f>
        <v/>
      </c>
      <c r="S32" s="21">
        <f>P32*O32/1000/IF(C32="AF",Datos!$B$46,Datos!$B$47)</f>
        <v/>
      </c>
      <c r="T32" s="22">
        <f>IF(S32&lt;=0,0,0.25/(LOG10(Datos!$B$48/(3.7*O32/1000)+5.74/S32^0.9))^2)</f>
        <v/>
      </c>
      <c r="U32" s="11">
        <f>IF(R32=0,0,T32*R32/(O32/1000)*P32^2/(2*Datos!$B$45))</f>
        <v/>
      </c>
      <c r="V32" s="19" t="n">
        <v>0</v>
      </c>
      <c r="W32" s="11">
        <f>V32*P32^2/(2*Datos!$B$45)</f>
        <v/>
      </c>
      <c r="X32" s="11">
        <f>U32+W32</f>
        <v/>
      </c>
    </row>
    <row r="33">
      <c r="A33" s="8" t="inlineStr">
        <is>
          <t>MBL9</t>
        </is>
      </c>
      <c r="B33" s="4" t="inlineStr">
        <is>
          <t>Montante bombeo O: tramo hasta planta 9</t>
        </is>
      </c>
      <c r="C33" s="4" t="inlineStr">
        <is>
          <t>AF</t>
        </is>
      </c>
      <c r="D33" s="4" t="inlineStr">
        <is>
          <t>MC</t>
        </is>
      </c>
      <c r="E33" s="5" t="n">
        <v>36</v>
      </c>
      <c r="F33" s="5" t="n">
        <v>6</v>
      </c>
      <c r="G33" s="5" t="n">
        <v>0</v>
      </c>
      <c r="H33" s="9" t="n">
        <v>0</v>
      </c>
      <c r="I33" s="11">
        <f>IF(C33="AF",E33*Locales!$L$4+F33*Locales!$L$5+G33*Locales!$L$6,E33*Locales!$M$4+F33*Locales!$M$5+G33*Locales!$M$6)+H33</f>
        <v/>
      </c>
      <c r="J33" s="9" t="n">
        <v>0</v>
      </c>
      <c r="K33" s="11">
        <f>MAX(J33,IF(I33&lt;=0,0,MIN(I33,IF(I33&lt;=20,Datos!$B$25*I33^Datos!$C$25+Datos!$D$25,Datos!$B$26*I33^Datos!$C$26+Datos!$D$26))))</f>
        <v/>
      </c>
      <c r="L33" s="19" t="n">
        <v>1</v>
      </c>
      <c r="M33" s="16">
        <f>SQRT(4*K33/1000/(PI()*L33))*1000</f>
        <v/>
      </c>
      <c r="N33" s="4">
        <f>IF(D33="MC",INDEX(Tubos!$B$4:$B$12,MIN(COUNTIF(Tubos!$C$4:$C$12,"&lt;"&amp;M33)+1,9)),IF(D33="PE",INDEX(Tubos!$B$15:$B$21,MIN(COUNTIF(Tubos!$C$15:$C$21,"&lt;"&amp;M33)+1,7)),INDEX(Tubos!$B$24:$B$33,MIN(COUNTIF(Tubos!$C$24:$C$33,"&lt;"&amp;M33)+1,10))))</f>
        <v/>
      </c>
      <c r="O33" s="16">
        <f>IF(D33="MC",INDEX(Tubos!$C$4:$C$12,MIN(COUNTIF(Tubos!$C$4:$C$12,"&lt;"&amp;M33)+1,9)),IF(D33="PE",INDEX(Tubos!$C$15:$C$21,MIN(COUNTIF(Tubos!$C$15:$C$21,"&lt;"&amp;M33)+1,7)),INDEX(Tubos!$C$24:$C$33,MIN(COUNTIF(Tubos!$C$24:$C$33,"&lt;"&amp;M33)+1,10))))</f>
        <v/>
      </c>
      <c r="P33" s="13">
        <f>K33/1000/(PI()*(O33/1000)^2/4)</f>
        <v/>
      </c>
      <c r="Q33" s="20" t="n">
        <v>3.3</v>
      </c>
      <c r="R33" s="13">
        <f>Q33*Datos!$B$17</f>
        <v/>
      </c>
      <c r="S33" s="21">
        <f>P33*O33/1000/IF(C33="AF",Datos!$B$46,Datos!$B$47)</f>
        <v/>
      </c>
      <c r="T33" s="22">
        <f>IF(S33&lt;=0,0,0.25/(LOG10(Datos!$B$48/(3.7*O33/1000)+5.74/S33^0.9))^2)</f>
        <v/>
      </c>
      <c r="U33" s="11">
        <f>IF(R33=0,0,T33*R33/(O33/1000)*P33^2/(2*Datos!$B$45))</f>
        <v/>
      </c>
      <c r="V33" s="19" t="n">
        <v>0</v>
      </c>
      <c r="W33" s="11">
        <f>V33*P33^2/(2*Datos!$B$45)</f>
        <v/>
      </c>
      <c r="X33" s="11">
        <f>U33+W33</f>
        <v/>
      </c>
    </row>
    <row r="34">
      <c r="A34" s="8" t="inlineStr">
        <is>
          <t>MBR9</t>
        </is>
      </c>
      <c r="B34" s="4" t="inlineStr">
        <is>
          <t>Montante bombeo E: tramo hasta planta 9</t>
        </is>
      </c>
      <c r="C34" s="4" t="inlineStr">
        <is>
          <t>AF</t>
        </is>
      </c>
      <c r="D34" s="4" t="inlineStr">
        <is>
          <t>MC</t>
        </is>
      </c>
      <c r="E34" s="5" t="n">
        <v>36</v>
      </c>
      <c r="F34" s="5" t="n">
        <v>0</v>
      </c>
      <c r="G34" s="5" t="n">
        <v>3</v>
      </c>
      <c r="H34" s="9" t="n">
        <v>0</v>
      </c>
      <c r="I34" s="11">
        <f>IF(C34="AF",E34*Locales!$L$4+F34*Locales!$L$5+G34*Locales!$L$6,E34*Locales!$M$4+F34*Locales!$M$5+G34*Locales!$M$6)+H34</f>
        <v/>
      </c>
      <c r="J34" s="9" t="n">
        <v>0</v>
      </c>
      <c r="K34" s="11">
        <f>MAX(J34,IF(I34&lt;=0,0,MIN(I34,IF(I34&lt;=20,Datos!$B$25*I34^Datos!$C$25+Datos!$D$25,Datos!$B$26*I34^Datos!$C$26+Datos!$D$26))))</f>
        <v/>
      </c>
      <c r="L34" s="19" t="n">
        <v>1</v>
      </c>
      <c r="M34" s="16">
        <f>SQRT(4*K34/1000/(PI()*L34))*1000</f>
        <v/>
      </c>
      <c r="N34" s="4">
        <f>IF(D34="MC",INDEX(Tubos!$B$4:$B$12,MIN(COUNTIF(Tubos!$C$4:$C$12,"&lt;"&amp;M34)+1,9)),IF(D34="PE",INDEX(Tubos!$B$15:$B$21,MIN(COUNTIF(Tubos!$C$15:$C$21,"&lt;"&amp;M34)+1,7)),INDEX(Tubos!$B$24:$B$33,MIN(COUNTIF(Tubos!$C$24:$C$33,"&lt;"&amp;M34)+1,10))))</f>
        <v/>
      </c>
      <c r="O34" s="16">
        <f>IF(D34="MC",INDEX(Tubos!$C$4:$C$12,MIN(COUNTIF(Tubos!$C$4:$C$12,"&lt;"&amp;M34)+1,9)),IF(D34="PE",INDEX(Tubos!$C$15:$C$21,MIN(COUNTIF(Tubos!$C$15:$C$21,"&lt;"&amp;M34)+1,7)),INDEX(Tubos!$C$24:$C$33,MIN(COUNTIF(Tubos!$C$24:$C$33,"&lt;"&amp;M34)+1,10))))</f>
        <v/>
      </c>
      <c r="P34" s="13">
        <f>K34/1000/(PI()*(O34/1000)^2/4)</f>
        <v/>
      </c>
      <c r="Q34" s="20" t="n">
        <v>3.3</v>
      </c>
      <c r="R34" s="13">
        <f>Q34*Datos!$B$17</f>
        <v/>
      </c>
      <c r="S34" s="21">
        <f>P34*O34/1000/IF(C34="AF",Datos!$B$46,Datos!$B$47)</f>
        <v/>
      </c>
      <c r="T34" s="22">
        <f>IF(S34&lt;=0,0,0.25/(LOG10(Datos!$B$48/(3.7*O34/1000)+5.74/S34^0.9))^2)</f>
        <v/>
      </c>
      <c r="U34" s="11">
        <f>IF(R34=0,0,T34*R34/(O34/1000)*P34^2/(2*Datos!$B$45))</f>
        <v/>
      </c>
      <c r="V34" s="19" t="n">
        <v>0</v>
      </c>
      <c r="W34" s="11">
        <f>V34*P34^2/(2*Datos!$B$45)</f>
        <v/>
      </c>
      <c r="X34" s="11">
        <f>U34+W34</f>
        <v/>
      </c>
    </row>
    <row r="35">
      <c r="A35" s="8" t="inlineStr">
        <is>
          <t>MBL10</t>
        </is>
      </c>
      <c r="B35" s="4" t="inlineStr">
        <is>
          <t>Montante bombeo O: tramo hasta planta 10</t>
        </is>
      </c>
      <c r="C35" s="4" t="inlineStr">
        <is>
          <t>AF</t>
        </is>
      </c>
      <c r="D35" s="4" t="inlineStr">
        <is>
          <t>MC</t>
        </is>
      </c>
      <c r="E35" s="5" t="n">
        <v>24</v>
      </c>
      <c r="F35" s="5" t="n">
        <v>4</v>
      </c>
      <c r="G35" s="5" t="n">
        <v>0</v>
      </c>
      <c r="H35" s="9" t="n">
        <v>0</v>
      </c>
      <c r="I35" s="11">
        <f>IF(C35="AF",E35*Locales!$L$4+F35*Locales!$L$5+G35*Locales!$L$6,E35*Locales!$M$4+F35*Locales!$M$5+G35*Locales!$M$6)+H35</f>
        <v/>
      </c>
      <c r="J35" s="9" t="n">
        <v>0</v>
      </c>
      <c r="K35" s="11">
        <f>MAX(J35,IF(I35&lt;=0,0,MIN(I35,IF(I35&lt;=20,Datos!$B$25*I35^Datos!$C$25+Datos!$D$25,Datos!$B$26*I35^Datos!$C$26+Datos!$D$26))))</f>
        <v/>
      </c>
      <c r="L35" s="19" t="n">
        <v>1</v>
      </c>
      <c r="M35" s="16">
        <f>SQRT(4*K35/1000/(PI()*L35))*1000</f>
        <v/>
      </c>
      <c r="N35" s="4">
        <f>IF(D35="MC",INDEX(Tubos!$B$4:$B$12,MIN(COUNTIF(Tubos!$C$4:$C$12,"&lt;"&amp;M35)+1,9)),IF(D35="PE",INDEX(Tubos!$B$15:$B$21,MIN(COUNTIF(Tubos!$C$15:$C$21,"&lt;"&amp;M35)+1,7)),INDEX(Tubos!$B$24:$B$33,MIN(COUNTIF(Tubos!$C$24:$C$33,"&lt;"&amp;M35)+1,10))))</f>
        <v/>
      </c>
      <c r="O35" s="16">
        <f>IF(D35="MC",INDEX(Tubos!$C$4:$C$12,MIN(COUNTIF(Tubos!$C$4:$C$12,"&lt;"&amp;M35)+1,9)),IF(D35="PE",INDEX(Tubos!$C$15:$C$21,MIN(COUNTIF(Tubos!$C$15:$C$21,"&lt;"&amp;M35)+1,7)),INDEX(Tubos!$C$24:$C$33,MIN(COUNTIF(Tubos!$C$24:$C$33,"&lt;"&amp;M35)+1,10))))</f>
        <v/>
      </c>
      <c r="P35" s="13">
        <f>K35/1000/(PI()*(O35/1000)^2/4)</f>
        <v/>
      </c>
      <c r="Q35" s="20" t="n">
        <v>3.3</v>
      </c>
      <c r="R35" s="13">
        <f>Q35*Datos!$B$17</f>
        <v/>
      </c>
      <c r="S35" s="21">
        <f>P35*O35/1000/IF(C35="AF",Datos!$B$46,Datos!$B$47)</f>
        <v/>
      </c>
      <c r="T35" s="22">
        <f>IF(S35&lt;=0,0,0.25/(LOG10(Datos!$B$48/(3.7*O35/1000)+5.74/S35^0.9))^2)</f>
        <v/>
      </c>
      <c r="U35" s="11">
        <f>IF(R35=0,0,T35*R35/(O35/1000)*P35^2/(2*Datos!$B$45))</f>
        <v/>
      </c>
      <c r="V35" s="19" t="n">
        <v>0</v>
      </c>
      <c r="W35" s="11">
        <f>V35*P35^2/(2*Datos!$B$45)</f>
        <v/>
      </c>
      <c r="X35" s="11">
        <f>U35+W35</f>
        <v/>
      </c>
    </row>
    <row r="36">
      <c r="A36" s="8" t="inlineStr">
        <is>
          <t>MBR10</t>
        </is>
      </c>
      <c r="B36" s="4" t="inlineStr">
        <is>
          <t>Montante bombeo E: tramo hasta planta 10</t>
        </is>
      </c>
      <c r="C36" s="4" t="inlineStr">
        <is>
          <t>AF</t>
        </is>
      </c>
      <c r="D36" s="4" t="inlineStr">
        <is>
          <t>MC</t>
        </is>
      </c>
      <c r="E36" s="5" t="n">
        <v>24</v>
      </c>
      <c r="F36" s="5" t="n">
        <v>0</v>
      </c>
      <c r="G36" s="5" t="n">
        <v>2</v>
      </c>
      <c r="H36" s="9" t="n">
        <v>0</v>
      </c>
      <c r="I36" s="11">
        <f>IF(C36="AF",E36*Locales!$L$4+F36*Locales!$L$5+G36*Locales!$L$6,E36*Locales!$M$4+F36*Locales!$M$5+G36*Locales!$M$6)+H36</f>
        <v/>
      </c>
      <c r="J36" s="9" t="n">
        <v>0</v>
      </c>
      <c r="K36" s="11">
        <f>MAX(J36,IF(I36&lt;=0,0,MIN(I36,IF(I36&lt;=20,Datos!$B$25*I36^Datos!$C$25+Datos!$D$25,Datos!$B$26*I36^Datos!$C$26+Datos!$D$26))))</f>
        <v/>
      </c>
      <c r="L36" s="19" t="n">
        <v>1</v>
      </c>
      <c r="M36" s="16">
        <f>SQRT(4*K36/1000/(PI()*L36))*1000</f>
        <v/>
      </c>
      <c r="N36" s="4">
        <f>IF(D36="MC",INDEX(Tubos!$B$4:$B$12,MIN(COUNTIF(Tubos!$C$4:$C$12,"&lt;"&amp;M36)+1,9)),IF(D36="PE",INDEX(Tubos!$B$15:$B$21,MIN(COUNTIF(Tubos!$C$15:$C$21,"&lt;"&amp;M36)+1,7)),INDEX(Tubos!$B$24:$B$33,MIN(COUNTIF(Tubos!$C$24:$C$33,"&lt;"&amp;M36)+1,10))))</f>
        <v/>
      </c>
      <c r="O36" s="16">
        <f>IF(D36="MC",INDEX(Tubos!$C$4:$C$12,MIN(COUNTIF(Tubos!$C$4:$C$12,"&lt;"&amp;M36)+1,9)),IF(D36="PE",INDEX(Tubos!$C$15:$C$21,MIN(COUNTIF(Tubos!$C$15:$C$21,"&lt;"&amp;M36)+1,7)),INDEX(Tubos!$C$24:$C$33,MIN(COUNTIF(Tubos!$C$24:$C$33,"&lt;"&amp;M36)+1,10))))</f>
        <v/>
      </c>
      <c r="P36" s="13">
        <f>K36/1000/(PI()*(O36/1000)^2/4)</f>
        <v/>
      </c>
      <c r="Q36" s="20" t="n">
        <v>3.3</v>
      </c>
      <c r="R36" s="13">
        <f>Q36*Datos!$B$17</f>
        <v/>
      </c>
      <c r="S36" s="21">
        <f>P36*O36/1000/IF(C36="AF",Datos!$B$46,Datos!$B$47)</f>
        <v/>
      </c>
      <c r="T36" s="22">
        <f>IF(S36&lt;=0,0,0.25/(LOG10(Datos!$B$48/(3.7*O36/1000)+5.74/S36^0.9))^2)</f>
        <v/>
      </c>
      <c r="U36" s="11">
        <f>IF(R36=0,0,T36*R36/(O36/1000)*P36^2/(2*Datos!$B$45))</f>
        <v/>
      </c>
      <c r="V36" s="19" t="n">
        <v>0</v>
      </c>
      <c r="W36" s="11">
        <f>V36*P36^2/(2*Datos!$B$45)</f>
        <v/>
      </c>
      <c r="X36" s="11">
        <f>U36+W36</f>
        <v/>
      </c>
    </row>
    <row r="37">
      <c r="A37" s="8" t="inlineStr">
        <is>
          <t>MBL11</t>
        </is>
      </c>
      <c r="B37" s="4" t="inlineStr">
        <is>
          <t>Montante bombeo O: tramo hasta planta 11</t>
        </is>
      </c>
      <c r="C37" s="4" t="inlineStr">
        <is>
          <t>AF</t>
        </is>
      </c>
      <c r="D37" s="4" t="inlineStr">
        <is>
          <t>MC</t>
        </is>
      </c>
      <c r="E37" s="5" t="n">
        <v>12</v>
      </c>
      <c r="F37" s="5" t="n">
        <v>2</v>
      </c>
      <c r="G37" s="5" t="n">
        <v>0</v>
      </c>
      <c r="H37" s="9" t="n">
        <v>0</v>
      </c>
      <c r="I37" s="11">
        <f>IF(C37="AF",E37*Locales!$L$4+F37*Locales!$L$5+G37*Locales!$L$6,E37*Locales!$M$4+F37*Locales!$M$5+G37*Locales!$M$6)+H37</f>
        <v/>
      </c>
      <c r="J37" s="9" t="n">
        <v>0</v>
      </c>
      <c r="K37" s="11">
        <f>MAX(J37,IF(I37&lt;=0,0,MIN(I37,IF(I37&lt;=20,Datos!$B$25*I37^Datos!$C$25+Datos!$D$25,Datos!$B$26*I37^Datos!$C$26+Datos!$D$26))))</f>
        <v/>
      </c>
      <c r="L37" s="19" t="n">
        <v>1</v>
      </c>
      <c r="M37" s="16">
        <f>SQRT(4*K37/1000/(PI()*L37))*1000</f>
        <v/>
      </c>
      <c r="N37" s="4">
        <f>IF(D37="MC",INDEX(Tubos!$B$4:$B$12,MIN(COUNTIF(Tubos!$C$4:$C$12,"&lt;"&amp;M37)+1,9)),IF(D37="PE",INDEX(Tubos!$B$15:$B$21,MIN(COUNTIF(Tubos!$C$15:$C$21,"&lt;"&amp;M37)+1,7)),INDEX(Tubos!$B$24:$B$33,MIN(COUNTIF(Tubos!$C$24:$C$33,"&lt;"&amp;M37)+1,10))))</f>
        <v/>
      </c>
      <c r="O37" s="16">
        <f>IF(D37="MC",INDEX(Tubos!$C$4:$C$12,MIN(COUNTIF(Tubos!$C$4:$C$12,"&lt;"&amp;M37)+1,9)),IF(D37="PE",INDEX(Tubos!$C$15:$C$21,MIN(COUNTIF(Tubos!$C$15:$C$21,"&lt;"&amp;M37)+1,7)),INDEX(Tubos!$C$24:$C$33,MIN(COUNTIF(Tubos!$C$24:$C$33,"&lt;"&amp;M37)+1,10))))</f>
        <v/>
      </c>
      <c r="P37" s="13">
        <f>K37/1000/(PI()*(O37/1000)^2/4)</f>
        <v/>
      </c>
      <c r="Q37" s="20" t="n">
        <v>3.3</v>
      </c>
      <c r="R37" s="13">
        <f>Q37*Datos!$B$17</f>
        <v/>
      </c>
      <c r="S37" s="21">
        <f>P37*O37/1000/IF(C37="AF",Datos!$B$46,Datos!$B$47)</f>
        <v/>
      </c>
      <c r="T37" s="22">
        <f>IF(S37&lt;=0,0,0.25/(LOG10(Datos!$B$48/(3.7*O37/1000)+5.74/S37^0.9))^2)</f>
        <v/>
      </c>
      <c r="U37" s="11">
        <f>IF(R37=0,0,T37*R37/(O37/1000)*P37^2/(2*Datos!$B$45))</f>
        <v/>
      </c>
      <c r="V37" s="19" t="n">
        <v>0</v>
      </c>
      <c r="W37" s="11">
        <f>V37*P37^2/(2*Datos!$B$45)</f>
        <v/>
      </c>
      <c r="X37" s="11">
        <f>U37+W37</f>
        <v/>
      </c>
    </row>
    <row r="38">
      <c r="A38" s="8" t="inlineStr">
        <is>
          <t>MBR11</t>
        </is>
      </c>
      <c r="B38" s="4" t="inlineStr">
        <is>
          <t>Montante bombeo E: tramo hasta planta 11</t>
        </is>
      </c>
      <c r="C38" s="4" t="inlineStr">
        <is>
          <t>AF</t>
        </is>
      </c>
      <c r="D38" s="4" t="inlineStr">
        <is>
          <t>MC</t>
        </is>
      </c>
      <c r="E38" s="5" t="n">
        <v>12</v>
      </c>
      <c r="F38" s="5" t="n">
        <v>0</v>
      </c>
      <c r="G38" s="5" t="n">
        <v>1</v>
      </c>
      <c r="H38" s="9" t="n">
        <v>0</v>
      </c>
      <c r="I38" s="11">
        <f>IF(C38="AF",E38*Locales!$L$4+F38*Locales!$L$5+G38*Locales!$L$6,E38*Locales!$M$4+F38*Locales!$M$5+G38*Locales!$M$6)+H38</f>
        <v/>
      </c>
      <c r="J38" s="9" t="n">
        <v>0</v>
      </c>
      <c r="K38" s="11">
        <f>MAX(J38,IF(I38&lt;=0,0,MIN(I38,IF(I38&lt;=20,Datos!$B$25*I38^Datos!$C$25+Datos!$D$25,Datos!$B$26*I38^Datos!$C$26+Datos!$D$26))))</f>
        <v/>
      </c>
      <c r="L38" s="19" t="n">
        <v>1</v>
      </c>
      <c r="M38" s="16">
        <f>SQRT(4*K38/1000/(PI()*L38))*1000</f>
        <v/>
      </c>
      <c r="N38" s="4">
        <f>IF(D38="MC",INDEX(Tubos!$B$4:$B$12,MIN(COUNTIF(Tubos!$C$4:$C$12,"&lt;"&amp;M38)+1,9)),IF(D38="PE",INDEX(Tubos!$B$15:$B$21,MIN(COUNTIF(Tubos!$C$15:$C$21,"&lt;"&amp;M38)+1,7)),INDEX(Tubos!$B$24:$B$33,MIN(COUNTIF(Tubos!$C$24:$C$33,"&lt;"&amp;M38)+1,10))))</f>
        <v/>
      </c>
      <c r="O38" s="16">
        <f>IF(D38="MC",INDEX(Tubos!$C$4:$C$12,MIN(COUNTIF(Tubos!$C$4:$C$12,"&lt;"&amp;M38)+1,9)),IF(D38="PE",INDEX(Tubos!$C$15:$C$21,MIN(COUNTIF(Tubos!$C$15:$C$21,"&lt;"&amp;M38)+1,7)),INDEX(Tubos!$C$24:$C$33,MIN(COUNTIF(Tubos!$C$24:$C$33,"&lt;"&amp;M38)+1,10))))</f>
        <v/>
      </c>
      <c r="P38" s="13">
        <f>K38/1000/(PI()*(O38/1000)^2/4)</f>
        <v/>
      </c>
      <c r="Q38" s="20" t="n">
        <v>3.3</v>
      </c>
      <c r="R38" s="13">
        <f>Q38*Datos!$B$17</f>
        <v/>
      </c>
      <c r="S38" s="21">
        <f>P38*O38/1000/IF(C38="AF",Datos!$B$46,Datos!$B$47)</f>
        <v/>
      </c>
      <c r="T38" s="22">
        <f>IF(S38&lt;=0,0,0.25/(LOG10(Datos!$B$48/(3.7*O38/1000)+5.74/S38^0.9))^2)</f>
        <v/>
      </c>
      <c r="U38" s="11">
        <f>IF(R38=0,0,T38*R38/(O38/1000)*P38^2/(2*Datos!$B$45))</f>
        <v/>
      </c>
      <c r="V38" s="19" t="n">
        <v>0</v>
      </c>
      <c r="W38" s="11">
        <f>V38*P38^2/(2*Datos!$B$45)</f>
        <v/>
      </c>
      <c r="X38" s="11">
        <f>U38+W38</f>
        <v/>
      </c>
    </row>
    <row r="39">
      <c r="A39" s="8" t="inlineStr">
        <is>
          <t>RL1</t>
        </is>
      </c>
      <c r="B39" s="4" t="inlineStr">
        <is>
          <t>Ramal planta O: patinillo → nudo hab. B1</t>
        </is>
      </c>
      <c r="C39" s="4" t="inlineStr">
        <is>
          <t>AF</t>
        </is>
      </c>
      <c r="D39" s="4" t="inlineStr">
        <is>
          <t>MC</t>
        </is>
      </c>
      <c r="E39" s="5" t="n">
        <v>12</v>
      </c>
      <c r="F39" s="5" t="n">
        <v>2</v>
      </c>
      <c r="G39" s="5" t="n">
        <v>0</v>
      </c>
      <c r="H39" s="9" t="n">
        <v>0</v>
      </c>
      <c r="I39" s="11">
        <f>IF(C39="AF",E39*Locales!$L$4+F39*Locales!$L$5+G39*Locales!$L$6,E39*Locales!$M$4+F39*Locales!$M$5+G39*Locales!$M$6)+H39</f>
        <v/>
      </c>
      <c r="J39" s="9" t="n">
        <v>0</v>
      </c>
      <c r="K39" s="11">
        <f>MAX(J39,IF(I39&lt;=0,0,MIN(I39,IF(I39&lt;=20,Datos!$B$25*I39^Datos!$C$25+Datos!$D$25,Datos!$B$26*I39^Datos!$C$26+Datos!$D$26))))</f>
        <v/>
      </c>
      <c r="L39" s="19" t="n">
        <v>1</v>
      </c>
      <c r="M39" s="16">
        <f>SQRT(4*K39/1000/(PI()*L39))*1000</f>
        <v/>
      </c>
      <c r="N39" s="4">
        <f>IF(D39="MC",INDEX(Tubos!$B$4:$B$12,MIN(COUNTIF(Tubos!$C$4:$C$12,"&lt;"&amp;M39)+1,9)),IF(D39="PE",INDEX(Tubos!$B$15:$B$21,MIN(COUNTIF(Tubos!$C$15:$C$21,"&lt;"&amp;M39)+1,7)),INDEX(Tubos!$B$24:$B$33,MIN(COUNTIF(Tubos!$C$24:$C$33,"&lt;"&amp;M39)+1,10))))</f>
        <v/>
      </c>
      <c r="O39" s="16">
        <f>IF(D39="MC",INDEX(Tubos!$C$4:$C$12,MIN(COUNTIF(Tubos!$C$4:$C$12,"&lt;"&amp;M39)+1,9)),IF(D39="PE",INDEX(Tubos!$C$15:$C$21,MIN(COUNTIF(Tubos!$C$15:$C$21,"&lt;"&amp;M39)+1,7)),INDEX(Tubos!$C$24:$C$33,MIN(COUNTIF(Tubos!$C$24:$C$33,"&lt;"&amp;M39)+1,10))))</f>
        <v/>
      </c>
      <c r="P39" s="13">
        <f>K39/1000/(PI()*(O39/1000)^2/4)</f>
        <v/>
      </c>
      <c r="Q39" s="20" t="n">
        <v>3.9</v>
      </c>
      <c r="R39" s="13">
        <f>Q39*Datos!$B$17</f>
        <v/>
      </c>
      <c r="S39" s="21">
        <f>P39*O39/1000/IF(C39="AF",Datos!$B$46,Datos!$B$47)</f>
        <v/>
      </c>
      <c r="T39" s="22">
        <f>IF(S39&lt;=0,0,0.25/(LOG10(Datos!$B$48/(3.7*O39/1000)+5.74/S39^0.9))^2)</f>
        <v/>
      </c>
      <c r="U39" s="11">
        <f>IF(R39=0,0,T39*R39/(O39/1000)*P39^2/(2*Datos!$B$45))</f>
        <v/>
      </c>
      <c r="V39" s="19" t="n">
        <v>0.3</v>
      </c>
      <c r="W39" s="11">
        <f>V39*P39^2/(2*Datos!$B$45)</f>
        <v/>
      </c>
      <c r="X39" s="11">
        <f>U39+W39</f>
        <v/>
      </c>
    </row>
    <row r="40">
      <c r="A40" s="8" t="inlineStr">
        <is>
          <t>RL2</t>
        </is>
      </c>
      <c r="B40" s="4" t="inlineStr">
        <is>
          <t>Ramal planta O: B1 → T1/B2</t>
        </is>
      </c>
      <c r="C40" s="4" t="inlineStr">
        <is>
          <t>AF</t>
        </is>
      </c>
      <c r="D40" s="4" t="inlineStr">
        <is>
          <t>MC</t>
        </is>
      </c>
      <c r="E40" s="5" t="n">
        <v>10</v>
      </c>
      <c r="F40" s="5" t="n">
        <v>2</v>
      </c>
      <c r="G40" s="5" t="n">
        <v>0</v>
      </c>
      <c r="H40" s="9" t="n">
        <v>0</v>
      </c>
      <c r="I40" s="11">
        <f>IF(C40="AF",E40*Locales!$L$4+F40*Locales!$L$5+G40*Locales!$L$6,E40*Locales!$M$4+F40*Locales!$M$5+G40*Locales!$M$6)+H40</f>
        <v/>
      </c>
      <c r="J40" s="9" t="n">
        <v>0</v>
      </c>
      <c r="K40" s="11">
        <f>MAX(J40,IF(I40&lt;=0,0,MIN(I40,IF(I40&lt;=20,Datos!$B$25*I40^Datos!$C$25+Datos!$D$25,Datos!$B$26*I40^Datos!$C$26+Datos!$D$26))))</f>
        <v/>
      </c>
      <c r="L40" s="19" t="n">
        <v>1</v>
      </c>
      <c r="M40" s="16">
        <f>SQRT(4*K40/1000/(PI()*L40))*1000</f>
        <v/>
      </c>
      <c r="N40" s="4">
        <f>IF(D40="MC",INDEX(Tubos!$B$4:$B$12,MIN(COUNTIF(Tubos!$C$4:$C$12,"&lt;"&amp;M40)+1,9)),IF(D40="PE",INDEX(Tubos!$B$15:$B$21,MIN(COUNTIF(Tubos!$C$15:$C$21,"&lt;"&amp;M40)+1,7)),INDEX(Tubos!$B$24:$B$33,MIN(COUNTIF(Tubos!$C$24:$C$33,"&lt;"&amp;M40)+1,10))))</f>
        <v/>
      </c>
      <c r="O40" s="16">
        <f>IF(D40="MC",INDEX(Tubos!$C$4:$C$12,MIN(COUNTIF(Tubos!$C$4:$C$12,"&lt;"&amp;M40)+1,9)),IF(D40="PE",INDEX(Tubos!$C$15:$C$21,MIN(COUNTIF(Tubos!$C$15:$C$21,"&lt;"&amp;M40)+1,7)),INDEX(Tubos!$C$24:$C$33,MIN(COUNTIF(Tubos!$C$24:$C$33,"&lt;"&amp;M40)+1,10))))</f>
        <v/>
      </c>
      <c r="P40" s="13">
        <f>K40/1000/(PI()*(O40/1000)^2/4)</f>
        <v/>
      </c>
      <c r="Q40" s="20" t="n">
        <v>6.4</v>
      </c>
      <c r="R40" s="13">
        <f>Q40*Datos!$B$17</f>
        <v/>
      </c>
      <c r="S40" s="21">
        <f>P40*O40/1000/IF(C40="AF",Datos!$B$46,Datos!$B$47)</f>
        <v/>
      </c>
      <c r="T40" s="22">
        <f>IF(S40&lt;=0,0,0.25/(LOG10(Datos!$B$48/(3.7*O40/1000)+5.74/S40^0.9))^2)</f>
        <v/>
      </c>
      <c r="U40" s="11">
        <f>IF(R40=0,0,T40*R40/(O40/1000)*P40^2/(2*Datos!$B$45))</f>
        <v/>
      </c>
      <c r="V40" s="19" t="n">
        <v>0</v>
      </c>
      <c r="W40" s="11">
        <f>V40*P40^2/(2*Datos!$B$45)</f>
        <v/>
      </c>
      <c r="X40" s="11">
        <f>U40+W40</f>
        <v/>
      </c>
    </row>
    <row r="41">
      <c r="A41" s="8" t="inlineStr">
        <is>
          <t>RL3</t>
        </is>
      </c>
      <c r="B41" s="4" t="inlineStr">
        <is>
          <t>Ramal planta O: T1/B2 → T2/B3</t>
        </is>
      </c>
      <c r="C41" s="4" t="inlineStr">
        <is>
          <t>AF</t>
        </is>
      </c>
      <c r="D41" s="4" t="inlineStr">
        <is>
          <t>MC</t>
        </is>
      </c>
      <c r="E41" s="5" t="n">
        <v>8</v>
      </c>
      <c r="F41" s="5" t="n">
        <v>0</v>
      </c>
      <c r="G41" s="5" t="n">
        <v>0</v>
      </c>
      <c r="H41" s="9" t="n">
        <v>0</v>
      </c>
      <c r="I41" s="11">
        <f>IF(C41="AF",E41*Locales!$L$4+F41*Locales!$L$5+G41*Locales!$L$6,E41*Locales!$M$4+F41*Locales!$M$5+G41*Locales!$M$6)+H41</f>
        <v/>
      </c>
      <c r="J41" s="9" t="n">
        <v>0</v>
      </c>
      <c r="K41" s="11">
        <f>MAX(J41,IF(I41&lt;=0,0,MIN(I41,IF(I41&lt;=20,Datos!$B$25*I41^Datos!$C$25+Datos!$D$25,Datos!$B$26*I41^Datos!$C$26+Datos!$D$26))))</f>
        <v/>
      </c>
      <c r="L41" s="19" t="n">
        <v>1</v>
      </c>
      <c r="M41" s="16">
        <f>SQRT(4*K41/1000/(PI()*L41))*1000</f>
        <v/>
      </c>
      <c r="N41" s="4">
        <f>IF(D41="MC",INDEX(Tubos!$B$4:$B$12,MIN(COUNTIF(Tubos!$C$4:$C$12,"&lt;"&amp;M41)+1,9)),IF(D41="PE",INDEX(Tubos!$B$15:$B$21,MIN(COUNTIF(Tubos!$C$15:$C$21,"&lt;"&amp;M41)+1,7)),INDEX(Tubos!$B$24:$B$33,MIN(COUNTIF(Tubos!$C$24:$C$33,"&lt;"&amp;M41)+1,10))))</f>
        <v/>
      </c>
      <c r="O41" s="16">
        <f>IF(D41="MC",INDEX(Tubos!$C$4:$C$12,MIN(COUNTIF(Tubos!$C$4:$C$12,"&lt;"&amp;M41)+1,9)),IF(D41="PE",INDEX(Tubos!$C$15:$C$21,MIN(COUNTIF(Tubos!$C$15:$C$21,"&lt;"&amp;M41)+1,7)),INDEX(Tubos!$C$24:$C$33,MIN(COUNTIF(Tubos!$C$24:$C$33,"&lt;"&amp;M41)+1,10))))</f>
        <v/>
      </c>
      <c r="P41" s="13">
        <f>K41/1000/(PI()*(O41/1000)^2/4)</f>
        <v/>
      </c>
      <c r="Q41" s="20" t="n">
        <v>6.1</v>
      </c>
      <c r="R41" s="13">
        <f>Q41*Datos!$B$17</f>
        <v/>
      </c>
      <c r="S41" s="21">
        <f>P41*O41/1000/IF(C41="AF",Datos!$B$46,Datos!$B$47)</f>
        <v/>
      </c>
      <c r="T41" s="22">
        <f>IF(S41&lt;=0,0,0.25/(LOG10(Datos!$B$48/(3.7*O41/1000)+5.74/S41^0.9))^2)</f>
        <v/>
      </c>
      <c r="U41" s="11">
        <f>IF(R41=0,0,T41*R41/(O41/1000)*P41^2/(2*Datos!$B$45))</f>
        <v/>
      </c>
      <c r="V41" s="19" t="n">
        <v>0</v>
      </c>
      <c r="W41" s="11">
        <f>V41*P41^2/(2*Datos!$B$45)</f>
        <v/>
      </c>
      <c r="X41" s="11">
        <f>U41+W41</f>
        <v/>
      </c>
    </row>
    <row r="42">
      <c r="A42" s="8" t="inlineStr">
        <is>
          <t>RL4</t>
        </is>
      </c>
      <c r="B42" s="4" t="inlineStr">
        <is>
          <t>Ramal planta O: T2/B3 → T3/B4</t>
        </is>
      </c>
      <c r="C42" s="4" t="inlineStr">
        <is>
          <t>AF</t>
        </is>
      </c>
      <c r="D42" s="4" t="inlineStr">
        <is>
          <t>MC</t>
        </is>
      </c>
      <c r="E42" s="5" t="n">
        <v>4</v>
      </c>
      <c r="F42" s="5" t="n">
        <v>0</v>
      </c>
      <c r="G42" s="5" t="n">
        <v>0</v>
      </c>
      <c r="H42" s="9" t="n">
        <v>0</v>
      </c>
      <c r="I42" s="11">
        <f>IF(C42="AF",E42*Locales!$L$4+F42*Locales!$L$5+G42*Locales!$L$6,E42*Locales!$M$4+F42*Locales!$M$5+G42*Locales!$M$6)+H42</f>
        <v/>
      </c>
      <c r="J42" s="9" t="n">
        <v>0</v>
      </c>
      <c r="K42" s="11">
        <f>MAX(J42,IF(I42&lt;=0,0,MIN(I42,IF(I42&lt;=20,Datos!$B$25*I42^Datos!$C$25+Datos!$D$25,Datos!$B$26*I42^Datos!$C$26+Datos!$D$26))))</f>
        <v/>
      </c>
      <c r="L42" s="19" t="n">
        <v>1</v>
      </c>
      <c r="M42" s="16">
        <f>SQRT(4*K42/1000/(PI()*L42))*1000</f>
        <v/>
      </c>
      <c r="N42" s="4">
        <f>IF(D42="MC",INDEX(Tubos!$B$4:$B$12,MIN(COUNTIF(Tubos!$C$4:$C$12,"&lt;"&amp;M42)+1,9)),IF(D42="PE",INDEX(Tubos!$B$15:$B$21,MIN(COUNTIF(Tubos!$C$15:$C$21,"&lt;"&amp;M42)+1,7)),INDEX(Tubos!$B$24:$B$33,MIN(COUNTIF(Tubos!$C$24:$C$33,"&lt;"&amp;M42)+1,10))))</f>
        <v/>
      </c>
      <c r="O42" s="16">
        <f>IF(D42="MC",INDEX(Tubos!$C$4:$C$12,MIN(COUNTIF(Tubos!$C$4:$C$12,"&lt;"&amp;M42)+1,9)),IF(D42="PE",INDEX(Tubos!$C$15:$C$21,MIN(COUNTIF(Tubos!$C$15:$C$21,"&lt;"&amp;M42)+1,7)),INDEX(Tubos!$C$24:$C$33,MIN(COUNTIF(Tubos!$C$24:$C$33,"&lt;"&amp;M42)+1,10))))</f>
        <v/>
      </c>
      <c r="P42" s="13">
        <f>K42/1000/(PI()*(O42/1000)^2/4)</f>
        <v/>
      </c>
      <c r="Q42" s="20" t="n">
        <v>6.5</v>
      </c>
      <c r="R42" s="13">
        <f>Q42*Datos!$B$17</f>
        <v/>
      </c>
      <c r="S42" s="21">
        <f>P42*O42/1000/IF(C42="AF",Datos!$B$46,Datos!$B$47)</f>
        <v/>
      </c>
      <c r="T42" s="22">
        <f>IF(S42&lt;=0,0,0.25/(LOG10(Datos!$B$48/(3.7*O42/1000)+5.74/S42^0.9))^2)</f>
        <v/>
      </c>
      <c r="U42" s="11">
        <f>IF(R42=0,0,T42*R42/(O42/1000)*P42^2/(2*Datos!$B$45))</f>
        <v/>
      </c>
      <c r="V42" s="19" t="n">
        <v>0</v>
      </c>
      <c r="W42" s="11">
        <f>V42*P42^2/(2*Datos!$B$45)</f>
        <v/>
      </c>
      <c r="X42" s="11">
        <f>U42+W42</f>
        <v/>
      </c>
    </row>
    <row r="43">
      <c r="A43" s="8" t="inlineStr">
        <is>
          <t>RL5</t>
        </is>
      </c>
      <c r="B43" s="4" t="inlineStr">
        <is>
          <t>Derivación a habitación más alejada O (T3/B4)</t>
        </is>
      </c>
      <c r="C43" s="4" t="inlineStr">
        <is>
          <t>AF</t>
        </is>
      </c>
      <c r="D43" s="4" t="inlineStr">
        <is>
          <t>MC</t>
        </is>
      </c>
      <c r="E43" s="5" t="n">
        <v>1</v>
      </c>
      <c r="F43" s="5" t="n">
        <v>0</v>
      </c>
      <c r="G43" s="5" t="n">
        <v>0</v>
      </c>
      <c r="H43" s="9" t="n">
        <v>0</v>
      </c>
      <c r="I43" s="11">
        <f>IF(C43="AF",E43*Locales!$L$4+F43*Locales!$L$5+G43*Locales!$L$6,E43*Locales!$M$4+F43*Locales!$M$5+G43*Locales!$M$6)+H43</f>
        <v/>
      </c>
      <c r="J43" s="9" t="n">
        <v>0</v>
      </c>
      <c r="K43" s="11">
        <f>MAX(J43,IF(I43&lt;=0,0,MIN(I43,IF(I43&lt;=20,Datos!$B$25*I43^Datos!$C$25+Datos!$D$25,Datos!$B$26*I43^Datos!$C$26+Datos!$D$26))))</f>
        <v/>
      </c>
      <c r="L43" s="19" t="n">
        <v>1</v>
      </c>
      <c r="M43" s="16">
        <f>SQRT(4*K43/1000/(PI()*L43))*1000</f>
        <v/>
      </c>
      <c r="N43" s="4">
        <f>IF(D43="MC",INDEX(Tubos!$B$4:$B$12,MIN(COUNTIF(Tubos!$C$4:$C$12,"&lt;"&amp;M43)+1,9)),IF(D43="PE",INDEX(Tubos!$B$15:$B$21,MIN(COUNTIF(Tubos!$C$15:$C$21,"&lt;"&amp;M43)+1,7)),INDEX(Tubos!$B$24:$B$33,MIN(COUNTIF(Tubos!$C$24:$C$33,"&lt;"&amp;M43)+1,10))))</f>
        <v/>
      </c>
      <c r="O43" s="16">
        <f>IF(D43="MC",INDEX(Tubos!$C$4:$C$12,MIN(COUNTIF(Tubos!$C$4:$C$12,"&lt;"&amp;M43)+1,9)),IF(D43="PE",INDEX(Tubos!$C$15:$C$21,MIN(COUNTIF(Tubos!$C$15:$C$21,"&lt;"&amp;M43)+1,7)),INDEX(Tubos!$C$24:$C$33,MIN(COUNTIF(Tubos!$C$24:$C$33,"&lt;"&amp;M43)+1,10))))</f>
        <v/>
      </c>
      <c r="P43" s="13">
        <f>K43/1000/(PI()*(O43/1000)^2/4)</f>
        <v/>
      </c>
      <c r="Q43" s="20" t="n">
        <v>1.65</v>
      </c>
      <c r="R43" s="13">
        <f>Q43*Datos!$B$17</f>
        <v/>
      </c>
      <c r="S43" s="21">
        <f>P43*O43/1000/IF(C43="AF",Datos!$B$46,Datos!$B$47)</f>
        <v/>
      </c>
      <c r="T43" s="22">
        <f>IF(S43&lt;=0,0,0.25/(LOG10(Datos!$B$48/(3.7*O43/1000)+5.74/S43^0.9))^2)</f>
        <v/>
      </c>
      <c r="U43" s="11">
        <f>IF(R43=0,0,T43*R43/(O43/1000)*P43^2/(2*Datos!$B$45))</f>
        <v/>
      </c>
      <c r="V43" s="19" t="n">
        <v>0.3</v>
      </c>
      <c r="W43" s="11">
        <f>V43*P43^2/(2*Datos!$B$45)</f>
        <v/>
      </c>
      <c r="X43" s="11">
        <f>U43+W43</f>
        <v/>
      </c>
    </row>
    <row r="44">
      <c r="A44" s="8" t="inlineStr">
        <is>
          <t>RR1</t>
        </is>
      </c>
      <c r="B44" s="4" t="inlineStr">
        <is>
          <t>Ramal planta E: patinillo → nudo hab. T7</t>
        </is>
      </c>
      <c r="C44" s="4" t="inlineStr">
        <is>
          <t>AF</t>
        </is>
      </c>
      <c r="D44" s="4" t="inlineStr">
        <is>
          <t>MC</t>
        </is>
      </c>
      <c r="E44" s="5" t="n">
        <v>12</v>
      </c>
      <c r="F44" s="5" t="n">
        <v>0</v>
      </c>
      <c r="G44" s="5" t="n">
        <v>1</v>
      </c>
      <c r="H44" s="9" t="n">
        <v>0</v>
      </c>
      <c r="I44" s="11">
        <f>IF(C44="AF",E44*Locales!$L$4+F44*Locales!$L$5+G44*Locales!$L$6,E44*Locales!$M$4+F44*Locales!$M$5+G44*Locales!$M$6)+H44</f>
        <v/>
      </c>
      <c r="J44" s="9" t="n">
        <v>0</v>
      </c>
      <c r="K44" s="11">
        <f>MAX(J44,IF(I44&lt;=0,0,MIN(I44,IF(I44&lt;=20,Datos!$B$25*I44^Datos!$C$25+Datos!$D$25,Datos!$B$26*I44^Datos!$C$26+Datos!$D$26))))</f>
        <v/>
      </c>
      <c r="L44" s="19" t="n">
        <v>1</v>
      </c>
      <c r="M44" s="16">
        <f>SQRT(4*K44/1000/(PI()*L44))*1000</f>
        <v/>
      </c>
      <c r="N44" s="4">
        <f>IF(D44="MC",INDEX(Tubos!$B$4:$B$12,MIN(COUNTIF(Tubos!$C$4:$C$12,"&lt;"&amp;M44)+1,9)),IF(D44="PE",INDEX(Tubos!$B$15:$B$21,MIN(COUNTIF(Tubos!$C$15:$C$21,"&lt;"&amp;M44)+1,7)),INDEX(Tubos!$B$24:$B$33,MIN(COUNTIF(Tubos!$C$24:$C$33,"&lt;"&amp;M44)+1,10))))</f>
        <v/>
      </c>
      <c r="O44" s="16">
        <f>IF(D44="MC",INDEX(Tubos!$C$4:$C$12,MIN(COUNTIF(Tubos!$C$4:$C$12,"&lt;"&amp;M44)+1,9)),IF(D44="PE",INDEX(Tubos!$C$15:$C$21,MIN(COUNTIF(Tubos!$C$15:$C$21,"&lt;"&amp;M44)+1,7)),INDEX(Tubos!$C$24:$C$33,MIN(COUNTIF(Tubos!$C$24:$C$33,"&lt;"&amp;M44)+1,10))))</f>
        <v/>
      </c>
      <c r="P44" s="13">
        <f>K44/1000/(PI()*(O44/1000)^2/4)</f>
        <v/>
      </c>
      <c r="Q44" s="20" t="n">
        <v>1</v>
      </c>
      <c r="R44" s="13">
        <f>Q44*Datos!$B$17</f>
        <v/>
      </c>
      <c r="S44" s="21">
        <f>P44*O44/1000/IF(C44="AF",Datos!$B$46,Datos!$B$47)</f>
        <v/>
      </c>
      <c r="T44" s="22">
        <f>IF(S44&lt;=0,0,0.25/(LOG10(Datos!$B$48/(3.7*O44/1000)+5.74/S44^0.9))^2)</f>
        <v/>
      </c>
      <c r="U44" s="11">
        <f>IF(R44=0,0,T44*R44/(O44/1000)*P44^2/(2*Datos!$B$45))</f>
        <v/>
      </c>
      <c r="V44" s="19" t="n">
        <v>0.3</v>
      </c>
      <c r="W44" s="11">
        <f>V44*P44^2/(2*Datos!$B$45)</f>
        <v/>
      </c>
      <c r="X44" s="11">
        <f>U44+W44</f>
        <v/>
      </c>
    </row>
    <row r="45">
      <c r="A45" s="8" t="inlineStr">
        <is>
          <t>RR2</t>
        </is>
      </c>
      <c r="B45" s="4" t="inlineStr">
        <is>
          <t>Ramal planta E: T7 → T6/B7</t>
        </is>
      </c>
      <c r="C45" s="4" t="inlineStr">
        <is>
          <t>AF</t>
        </is>
      </c>
      <c r="D45" s="4" t="inlineStr">
        <is>
          <t>MC</t>
        </is>
      </c>
      <c r="E45" s="5" t="n">
        <v>11</v>
      </c>
      <c r="F45" s="5" t="n">
        <v>0</v>
      </c>
      <c r="G45" s="5" t="n">
        <v>1</v>
      </c>
      <c r="H45" s="9" t="n">
        <v>0</v>
      </c>
      <c r="I45" s="11">
        <f>IF(C45="AF",E45*Locales!$L$4+F45*Locales!$L$5+G45*Locales!$L$6,E45*Locales!$M$4+F45*Locales!$M$5+G45*Locales!$M$6)+H45</f>
        <v/>
      </c>
      <c r="J45" s="9" t="n">
        <v>0</v>
      </c>
      <c r="K45" s="11">
        <f>MAX(J45,IF(I45&lt;=0,0,MIN(I45,IF(I45&lt;=20,Datos!$B$25*I45^Datos!$C$25+Datos!$D$25,Datos!$B$26*I45^Datos!$C$26+Datos!$D$26))))</f>
        <v/>
      </c>
      <c r="L45" s="19" t="n">
        <v>1</v>
      </c>
      <c r="M45" s="16">
        <f>SQRT(4*K45/1000/(PI()*L45))*1000</f>
        <v/>
      </c>
      <c r="N45" s="4">
        <f>IF(D45="MC",INDEX(Tubos!$B$4:$B$12,MIN(COUNTIF(Tubos!$C$4:$C$12,"&lt;"&amp;M45)+1,9)),IF(D45="PE",INDEX(Tubos!$B$15:$B$21,MIN(COUNTIF(Tubos!$C$15:$C$21,"&lt;"&amp;M45)+1,7)),INDEX(Tubos!$B$24:$B$33,MIN(COUNTIF(Tubos!$C$24:$C$33,"&lt;"&amp;M45)+1,10))))</f>
        <v/>
      </c>
      <c r="O45" s="16">
        <f>IF(D45="MC",INDEX(Tubos!$C$4:$C$12,MIN(COUNTIF(Tubos!$C$4:$C$12,"&lt;"&amp;M45)+1,9)),IF(D45="PE",INDEX(Tubos!$C$15:$C$21,MIN(COUNTIF(Tubos!$C$15:$C$21,"&lt;"&amp;M45)+1,7)),INDEX(Tubos!$C$24:$C$33,MIN(COUNTIF(Tubos!$C$24:$C$33,"&lt;"&amp;M45)+1,10))))</f>
        <v/>
      </c>
      <c r="P45" s="13">
        <f>K45/1000/(PI()*(O45/1000)^2/4)</f>
        <v/>
      </c>
      <c r="Q45" s="20" t="n">
        <v>5.5</v>
      </c>
      <c r="R45" s="13">
        <f>Q45*Datos!$B$17</f>
        <v/>
      </c>
      <c r="S45" s="21">
        <f>P45*O45/1000/IF(C45="AF",Datos!$B$46,Datos!$B$47)</f>
        <v/>
      </c>
      <c r="T45" s="22">
        <f>IF(S45&lt;=0,0,0.25/(LOG10(Datos!$B$48/(3.7*O45/1000)+5.74/S45^0.9))^2)</f>
        <v/>
      </c>
      <c r="U45" s="11">
        <f>IF(R45=0,0,T45*R45/(O45/1000)*P45^2/(2*Datos!$B$45))</f>
        <v/>
      </c>
      <c r="V45" s="19" t="n">
        <v>0</v>
      </c>
      <c r="W45" s="11">
        <f>V45*P45^2/(2*Datos!$B$45)</f>
        <v/>
      </c>
      <c r="X45" s="11">
        <f>U45+W45</f>
        <v/>
      </c>
    </row>
    <row r="46">
      <c r="A46" s="8" t="inlineStr">
        <is>
          <t>RR3</t>
        </is>
      </c>
      <c r="B46" s="4" t="inlineStr">
        <is>
          <t>Ramal planta E: T6/B7 → oficio</t>
        </is>
      </c>
      <c r="C46" s="4" t="inlineStr">
        <is>
          <t>AF</t>
        </is>
      </c>
      <c r="D46" s="4" t="inlineStr">
        <is>
          <t>MC</t>
        </is>
      </c>
      <c r="E46" s="5" t="n">
        <v>7</v>
      </c>
      <c r="F46" s="5" t="n">
        <v>0</v>
      </c>
      <c r="G46" s="5" t="n">
        <v>1</v>
      </c>
      <c r="H46" s="9" t="n">
        <v>0</v>
      </c>
      <c r="I46" s="11">
        <f>IF(C46="AF",E46*Locales!$L$4+F46*Locales!$L$5+G46*Locales!$L$6,E46*Locales!$M$4+F46*Locales!$M$5+G46*Locales!$M$6)+H46</f>
        <v/>
      </c>
      <c r="J46" s="9" t="n">
        <v>0</v>
      </c>
      <c r="K46" s="11">
        <f>MAX(J46,IF(I46&lt;=0,0,MIN(I46,IF(I46&lt;=20,Datos!$B$25*I46^Datos!$C$25+Datos!$D$25,Datos!$B$26*I46^Datos!$C$26+Datos!$D$26))))</f>
        <v/>
      </c>
      <c r="L46" s="19" t="n">
        <v>1</v>
      </c>
      <c r="M46" s="16">
        <f>SQRT(4*K46/1000/(PI()*L46))*1000</f>
        <v/>
      </c>
      <c r="N46" s="4">
        <f>IF(D46="MC",INDEX(Tubos!$B$4:$B$12,MIN(COUNTIF(Tubos!$C$4:$C$12,"&lt;"&amp;M46)+1,9)),IF(D46="PE",INDEX(Tubos!$B$15:$B$21,MIN(COUNTIF(Tubos!$C$15:$C$21,"&lt;"&amp;M46)+1,7)),INDEX(Tubos!$B$24:$B$33,MIN(COUNTIF(Tubos!$C$24:$C$33,"&lt;"&amp;M46)+1,10))))</f>
        <v/>
      </c>
      <c r="O46" s="16">
        <f>IF(D46="MC",INDEX(Tubos!$C$4:$C$12,MIN(COUNTIF(Tubos!$C$4:$C$12,"&lt;"&amp;M46)+1,9)),IF(D46="PE",INDEX(Tubos!$C$15:$C$21,MIN(COUNTIF(Tubos!$C$15:$C$21,"&lt;"&amp;M46)+1,7)),INDEX(Tubos!$C$24:$C$33,MIN(COUNTIF(Tubos!$C$24:$C$33,"&lt;"&amp;M46)+1,10))))</f>
        <v/>
      </c>
      <c r="P46" s="13">
        <f>K46/1000/(PI()*(O46/1000)^2/4)</f>
        <v/>
      </c>
      <c r="Q46" s="20" t="n">
        <v>4.9</v>
      </c>
      <c r="R46" s="13">
        <f>Q46*Datos!$B$17</f>
        <v/>
      </c>
      <c r="S46" s="21">
        <f>P46*O46/1000/IF(C46="AF",Datos!$B$46,Datos!$B$47)</f>
        <v/>
      </c>
      <c r="T46" s="22">
        <f>IF(S46&lt;=0,0,0.25/(LOG10(Datos!$B$48/(3.7*O46/1000)+5.74/S46^0.9))^2)</f>
        <v/>
      </c>
      <c r="U46" s="11">
        <f>IF(R46=0,0,T46*R46/(O46/1000)*P46^2/(2*Datos!$B$45))</f>
        <v/>
      </c>
      <c r="V46" s="19" t="n">
        <v>0</v>
      </c>
      <c r="W46" s="11">
        <f>V46*P46^2/(2*Datos!$B$45)</f>
        <v/>
      </c>
      <c r="X46" s="11">
        <f>U46+W46</f>
        <v/>
      </c>
    </row>
    <row r="47">
      <c r="A47" s="8" t="inlineStr">
        <is>
          <t>RR4</t>
        </is>
      </c>
      <c r="B47" s="4" t="inlineStr">
        <is>
          <t>Ramal planta E: oficio → T5/B6</t>
        </is>
      </c>
      <c r="C47" s="4" t="inlineStr">
        <is>
          <t>AF</t>
        </is>
      </c>
      <c r="D47" s="4" t="inlineStr">
        <is>
          <t>MC</t>
        </is>
      </c>
      <c r="E47" s="5" t="n">
        <v>7</v>
      </c>
      <c r="F47" s="5" t="n">
        <v>0</v>
      </c>
      <c r="G47" s="5" t="n">
        <v>0</v>
      </c>
      <c r="H47" s="9" t="n">
        <v>0</v>
      </c>
      <c r="I47" s="11">
        <f>IF(C47="AF",E47*Locales!$L$4+F47*Locales!$L$5+G47*Locales!$L$6,E47*Locales!$M$4+F47*Locales!$M$5+G47*Locales!$M$6)+H47</f>
        <v/>
      </c>
      <c r="J47" s="9" t="n">
        <v>0</v>
      </c>
      <c r="K47" s="11">
        <f>MAX(J47,IF(I47&lt;=0,0,MIN(I47,IF(I47&lt;=20,Datos!$B$25*I47^Datos!$C$25+Datos!$D$25,Datos!$B$26*I47^Datos!$C$26+Datos!$D$26))))</f>
        <v/>
      </c>
      <c r="L47" s="19" t="n">
        <v>1</v>
      </c>
      <c r="M47" s="16">
        <f>SQRT(4*K47/1000/(PI()*L47))*1000</f>
        <v/>
      </c>
      <c r="N47" s="4">
        <f>IF(D47="MC",INDEX(Tubos!$B$4:$B$12,MIN(COUNTIF(Tubos!$C$4:$C$12,"&lt;"&amp;M47)+1,9)),IF(D47="PE",INDEX(Tubos!$B$15:$B$21,MIN(COUNTIF(Tubos!$C$15:$C$21,"&lt;"&amp;M47)+1,7)),INDEX(Tubos!$B$24:$B$33,MIN(COUNTIF(Tubos!$C$24:$C$33,"&lt;"&amp;M47)+1,10))))</f>
        <v/>
      </c>
      <c r="O47" s="16">
        <f>IF(D47="MC",INDEX(Tubos!$C$4:$C$12,MIN(COUNTIF(Tubos!$C$4:$C$12,"&lt;"&amp;M47)+1,9)),IF(D47="PE",INDEX(Tubos!$C$15:$C$21,MIN(COUNTIF(Tubos!$C$15:$C$21,"&lt;"&amp;M47)+1,7)),INDEX(Tubos!$C$24:$C$33,MIN(COUNTIF(Tubos!$C$24:$C$33,"&lt;"&amp;M47)+1,10))))</f>
        <v/>
      </c>
      <c r="P47" s="13">
        <f>K47/1000/(PI()*(O47/1000)^2/4)</f>
        <v/>
      </c>
      <c r="Q47" s="20" t="n">
        <v>1.6</v>
      </c>
      <c r="R47" s="13">
        <f>Q47*Datos!$B$17</f>
        <v/>
      </c>
      <c r="S47" s="21">
        <f>P47*O47/1000/IF(C47="AF",Datos!$B$46,Datos!$B$47)</f>
        <v/>
      </c>
      <c r="T47" s="22">
        <f>IF(S47&lt;=0,0,0.25/(LOG10(Datos!$B$48/(3.7*O47/1000)+5.74/S47^0.9))^2)</f>
        <v/>
      </c>
      <c r="U47" s="11">
        <f>IF(R47=0,0,T47*R47/(O47/1000)*P47^2/(2*Datos!$B$45))</f>
        <v/>
      </c>
      <c r="V47" s="19" t="n">
        <v>0</v>
      </c>
      <c r="W47" s="11">
        <f>V47*P47^2/(2*Datos!$B$45)</f>
        <v/>
      </c>
      <c r="X47" s="11">
        <f>U47+W47</f>
        <v/>
      </c>
    </row>
    <row r="48">
      <c r="A48" s="8" t="inlineStr">
        <is>
          <t>RR5</t>
        </is>
      </c>
      <c r="B48" s="4" t="inlineStr">
        <is>
          <t>Ramal planta E: T5/B6 → T4/B5</t>
        </is>
      </c>
      <c r="C48" s="4" t="inlineStr">
        <is>
          <t>AF</t>
        </is>
      </c>
      <c r="D48" s="4" t="inlineStr">
        <is>
          <t>MC</t>
        </is>
      </c>
      <c r="E48" s="5" t="n">
        <v>4</v>
      </c>
      <c r="F48" s="5" t="n">
        <v>0</v>
      </c>
      <c r="G48" s="5" t="n">
        <v>0</v>
      </c>
      <c r="H48" s="9" t="n">
        <v>0</v>
      </c>
      <c r="I48" s="11">
        <f>IF(C48="AF",E48*Locales!$L$4+F48*Locales!$L$5+G48*Locales!$L$6,E48*Locales!$M$4+F48*Locales!$M$5+G48*Locales!$M$6)+H48</f>
        <v/>
      </c>
      <c r="J48" s="9" t="n">
        <v>0</v>
      </c>
      <c r="K48" s="11">
        <f>MAX(J48,IF(I48&lt;=0,0,MIN(I48,IF(I48&lt;=20,Datos!$B$25*I48^Datos!$C$25+Datos!$D$25,Datos!$B$26*I48^Datos!$C$26+Datos!$D$26))))</f>
        <v/>
      </c>
      <c r="L48" s="19" t="n">
        <v>1</v>
      </c>
      <c r="M48" s="16">
        <f>SQRT(4*K48/1000/(PI()*L48))*1000</f>
        <v/>
      </c>
      <c r="N48" s="4">
        <f>IF(D48="MC",INDEX(Tubos!$B$4:$B$12,MIN(COUNTIF(Tubos!$C$4:$C$12,"&lt;"&amp;M48)+1,9)),IF(D48="PE",INDEX(Tubos!$B$15:$B$21,MIN(COUNTIF(Tubos!$C$15:$C$21,"&lt;"&amp;M48)+1,7)),INDEX(Tubos!$B$24:$B$33,MIN(COUNTIF(Tubos!$C$24:$C$33,"&lt;"&amp;M48)+1,10))))</f>
        <v/>
      </c>
      <c r="O48" s="16">
        <f>IF(D48="MC",INDEX(Tubos!$C$4:$C$12,MIN(COUNTIF(Tubos!$C$4:$C$12,"&lt;"&amp;M48)+1,9)),IF(D48="PE",INDEX(Tubos!$C$15:$C$21,MIN(COUNTIF(Tubos!$C$15:$C$21,"&lt;"&amp;M48)+1,7)),INDEX(Tubos!$C$24:$C$33,MIN(COUNTIF(Tubos!$C$24:$C$33,"&lt;"&amp;M48)+1,10))))</f>
        <v/>
      </c>
      <c r="P48" s="13">
        <f>K48/1000/(PI()*(O48/1000)^2/4)</f>
        <v/>
      </c>
      <c r="Q48" s="20" t="n">
        <v>6.5</v>
      </c>
      <c r="R48" s="13">
        <f>Q48*Datos!$B$17</f>
        <v/>
      </c>
      <c r="S48" s="21">
        <f>P48*O48/1000/IF(C48="AF",Datos!$B$46,Datos!$B$47)</f>
        <v/>
      </c>
      <c r="T48" s="22">
        <f>IF(S48&lt;=0,0,0.25/(LOG10(Datos!$B$48/(3.7*O48/1000)+5.74/S48^0.9))^2)</f>
        <v/>
      </c>
      <c r="U48" s="11">
        <f>IF(R48=0,0,T48*R48/(O48/1000)*P48^2/(2*Datos!$B$45))</f>
        <v/>
      </c>
      <c r="V48" s="19" t="n">
        <v>0</v>
      </c>
      <c r="W48" s="11">
        <f>V48*P48^2/(2*Datos!$B$45)</f>
        <v/>
      </c>
      <c r="X48" s="11">
        <f>U48+W48</f>
        <v/>
      </c>
    </row>
    <row r="49">
      <c r="A49" s="8" t="inlineStr">
        <is>
          <t>RR6</t>
        </is>
      </c>
      <c r="B49" s="4" t="inlineStr">
        <is>
          <t>Derivación a habitación más alejada E (T4/B5)</t>
        </is>
      </c>
      <c r="C49" s="4" t="inlineStr">
        <is>
          <t>AF</t>
        </is>
      </c>
      <c r="D49" s="4" t="inlineStr">
        <is>
          <t>MC</t>
        </is>
      </c>
      <c r="E49" s="5" t="n">
        <v>1</v>
      </c>
      <c r="F49" s="5" t="n">
        <v>0</v>
      </c>
      <c r="G49" s="5" t="n">
        <v>0</v>
      </c>
      <c r="H49" s="9" t="n">
        <v>0</v>
      </c>
      <c r="I49" s="11">
        <f>IF(C49="AF",E49*Locales!$L$4+F49*Locales!$L$5+G49*Locales!$L$6,E49*Locales!$M$4+F49*Locales!$M$5+G49*Locales!$M$6)+H49</f>
        <v/>
      </c>
      <c r="J49" s="9" t="n">
        <v>0</v>
      </c>
      <c r="K49" s="11">
        <f>MAX(J49,IF(I49&lt;=0,0,MIN(I49,IF(I49&lt;=20,Datos!$B$25*I49^Datos!$C$25+Datos!$D$25,Datos!$B$26*I49^Datos!$C$26+Datos!$D$26))))</f>
        <v/>
      </c>
      <c r="L49" s="19" t="n">
        <v>1</v>
      </c>
      <c r="M49" s="16">
        <f>SQRT(4*K49/1000/(PI()*L49))*1000</f>
        <v/>
      </c>
      <c r="N49" s="4">
        <f>IF(D49="MC",INDEX(Tubos!$B$4:$B$12,MIN(COUNTIF(Tubos!$C$4:$C$12,"&lt;"&amp;M49)+1,9)),IF(D49="PE",INDEX(Tubos!$B$15:$B$21,MIN(COUNTIF(Tubos!$C$15:$C$21,"&lt;"&amp;M49)+1,7)),INDEX(Tubos!$B$24:$B$33,MIN(COUNTIF(Tubos!$C$24:$C$33,"&lt;"&amp;M49)+1,10))))</f>
        <v/>
      </c>
      <c r="O49" s="16">
        <f>IF(D49="MC",INDEX(Tubos!$C$4:$C$12,MIN(COUNTIF(Tubos!$C$4:$C$12,"&lt;"&amp;M49)+1,9)),IF(D49="PE",INDEX(Tubos!$C$15:$C$21,MIN(COUNTIF(Tubos!$C$15:$C$21,"&lt;"&amp;M49)+1,7)),INDEX(Tubos!$C$24:$C$33,MIN(COUNTIF(Tubos!$C$24:$C$33,"&lt;"&amp;M49)+1,10))))</f>
        <v/>
      </c>
      <c r="P49" s="13">
        <f>K49/1000/(PI()*(O49/1000)^2/4)</f>
        <v/>
      </c>
      <c r="Q49" s="20" t="n">
        <v>1.65</v>
      </c>
      <c r="R49" s="13">
        <f>Q49*Datos!$B$17</f>
        <v/>
      </c>
      <c r="S49" s="21">
        <f>P49*O49/1000/IF(C49="AF",Datos!$B$46,Datos!$B$47)</f>
        <v/>
      </c>
      <c r="T49" s="22">
        <f>IF(S49&lt;=0,0,0.25/(LOG10(Datos!$B$48/(3.7*O49/1000)+5.74/S49^0.9))^2)</f>
        <v/>
      </c>
      <c r="U49" s="11">
        <f>IF(R49=0,0,T49*R49/(O49/1000)*P49^2/(2*Datos!$B$45))</f>
        <v/>
      </c>
      <c r="V49" s="19" t="n">
        <v>0.3</v>
      </c>
      <c r="W49" s="11">
        <f>V49*P49^2/(2*Datos!$B$45)</f>
        <v/>
      </c>
      <c r="X49" s="11">
        <f>U49+W49</f>
        <v/>
      </c>
    </row>
    <row r="50">
      <c r="A50" s="8" t="inlineStr">
        <is>
          <t>RL1C</t>
        </is>
      </c>
      <c r="B50" s="4" t="inlineStr">
        <is>
          <t>Ramal planta O: patinillo → nudo hab. B1</t>
        </is>
      </c>
      <c r="C50" s="4" t="inlineStr">
        <is>
          <t>ACS</t>
        </is>
      </c>
      <c r="D50" s="4" t="inlineStr">
        <is>
          <t>MC</t>
        </is>
      </c>
      <c r="E50" s="5" t="n">
        <v>12</v>
      </c>
      <c r="F50" s="5" t="n">
        <v>2</v>
      </c>
      <c r="G50" s="5" t="n">
        <v>0</v>
      </c>
      <c r="H50" s="9" t="n">
        <v>0</v>
      </c>
      <c r="I50" s="11">
        <f>IF(C50="AF",E50*Locales!$L$4+F50*Locales!$L$5+G50*Locales!$L$6,E50*Locales!$M$4+F50*Locales!$M$5+G50*Locales!$M$6)+H50</f>
        <v/>
      </c>
      <c r="J50" s="9" t="n">
        <v>0</v>
      </c>
      <c r="K50" s="11">
        <f>MAX(J50,IF(I50&lt;=0,0,MIN(I50,IF(I50&lt;=20,Datos!$B$25*I50^Datos!$C$25+Datos!$D$25,Datos!$B$26*I50^Datos!$C$26+Datos!$D$26))))</f>
        <v/>
      </c>
      <c r="L50" s="19" t="n">
        <v>1</v>
      </c>
      <c r="M50" s="16">
        <f>SQRT(4*K50/1000/(PI()*L50))*1000</f>
        <v/>
      </c>
      <c r="N50" s="4">
        <f>IF(D50="MC",INDEX(Tubos!$B$4:$B$12,MIN(COUNTIF(Tubos!$C$4:$C$12,"&lt;"&amp;M50)+1,9)),IF(D50="PE",INDEX(Tubos!$B$15:$B$21,MIN(COUNTIF(Tubos!$C$15:$C$21,"&lt;"&amp;M50)+1,7)),INDEX(Tubos!$B$24:$B$33,MIN(COUNTIF(Tubos!$C$24:$C$33,"&lt;"&amp;M50)+1,10))))</f>
        <v/>
      </c>
      <c r="O50" s="16">
        <f>IF(D50="MC",INDEX(Tubos!$C$4:$C$12,MIN(COUNTIF(Tubos!$C$4:$C$12,"&lt;"&amp;M50)+1,9)),IF(D50="PE",INDEX(Tubos!$C$15:$C$21,MIN(COUNTIF(Tubos!$C$15:$C$21,"&lt;"&amp;M50)+1,7)),INDEX(Tubos!$C$24:$C$33,MIN(COUNTIF(Tubos!$C$24:$C$33,"&lt;"&amp;M50)+1,10))))</f>
        <v/>
      </c>
      <c r="P50" s="13">
        <f>K50/1000/(PI()*(O50/1000)^2/4)</f>
        <v/>
      </c>
      <c r="Q50" s="20" t="n">
        <v>3.9</v>
      </c>
      <c r="R50" s="13">
        <f>Q50*Datos!$B$17</f>
        <v/>
      </c>
      <c r="S50" s="21">
        <f>P50*O50/1000/IF(C50="AF",Datos!$B$46,Datos!$B$47)</f>
        <v/>
      </c>
      <c r="T50" s="22">
        <f>IF(S50&lt;=0,0,0.25/(LOG10(Datos!$B$48/(3.7*O50/1000)+5.74/S50^0.9))^2)</f>
        <v/>
      </c>
      <c r="U50" s="11">
        <f>IF(R50=0,0,T50*R50/(O50/1000)*P50^2/(2*Datos!$B$45))</f>
        <v/>
      </c>
      <c r="V50" s="19" t="n">
        <v>0.3</v>
      </c>
      <c r="W50" s="11">
        <f>V50*P50^2/(2*Datos!$B$45)</f>
        <v/>
      </c>
      <c r="X50" s="11">
        <f>U50+W50</f>
        <v/>
      </c>
    </row>
    <row r="51">
      <c r="A51" s="8" t="inlineStr">
        <is>
          <t>RL2C</t>
        </is>
      </c>
      <c r="B51" s="4" t="inlineStr">
        <is>
          <t>Ramal planta O: B1 → T1/B2</t>
        </is>
      </c>
      <c r="C51" s="4" t="inlineStr">
        <is>
          <t>ACS</t>
        </is>
      </c>
      <c r="D51" s="4" t="inlineStr">
        <is>
          <t>MC</t>
        </is>
      </c>
      <c r="E51" s="5" t="n">
        <v>10</v>
      </c>
      <c r="F51" s="5" t="n">
        <v>2</v>
      </c>
      <c r="G51" s="5" t="n">
        <v>0</v>
      </c>
      <c r="H51" s="9" t="n">
        <v>0</v>
      </c>
      <c r="I51" s="11">
        <f>IF(C51="AF",E51*Locales!$L$4+F51*Locales!$L$5+G51*Locales!$L$6,E51*Locales!$M$4+F51*Locales!$M$5+G51*Locales!$M$6)+H51</f>
        <v/>
      </c>
      <c r="J51" s="9" t="n">
        <v>0</v>
      </c>
      <c r="K51" s="11">
        <f>MAX(J51,IF(I51&lt;=0,0,MIN(I51,IF(I51&lt;=20,Datos!$B$25*I51^Datos!$C$25+Datos!$D$25,Datos!$B$26*I51^Datos!$C$26+Datos!$D$26))))</f>
        <v/>
      </c>
      <c r="L51" s="19" t="n">
        <v>1</v>
      </c>
      <c r="M51" s="16">
        <f>SQRT(4*K51/1000/(PI()*L51))*1000</f>
        <v/>
      </c>
      <c r="N51" s="4">
        <f>IF(D51="MC",INDEX(Tubos!$B$4:$B$12,MIN(COUNTIF(Tubos!$C$4:$C$12,"&lt;"&amp;M51)+1,9)),IF(D51="PE",INDEX(Tubos!$B$15:$B$21,MIN(COUNTIF(Tubos!$C$15:$C$21,"&lt;"&amp;M51)+1,7)),INDEX(Tubos!$B$24:$B$33,MIN(COUNTIF(Tubos!$C$24:$C$33,"&lt;"&amp;M51)+1,10))))</f>
        <v/>
      </c>
      <c r="O51" s="16">
        <f>IF(D51="MC",INDEX(Tubos!$C$4:$C$12,MIN(COUNTIF(Tubos!$C$4:$C$12,"&lt;"&amp;M51)+1,9)),IF(D51="PE",INDEX(Tubos!$C$15:$C$21,MIN(COUNTIF(Tubos!$C$15:$C$21,"&lt;"&amp;M51)+1,7)),INDEX(Tubos!$C$24:$C$33,MIN(COUNTIF(Tubos!$C$24:$C$33,"&lt;"&amp;M51)+1,10))))</f>
        <v/>
      </c>
      <c r="P51" s="13">
        <f>K51/1000/(PI()*(O51/1000)^2/4)</f>
        <v/>
      </c>
      <c r="Q51" s="20" t="n">
        <v>6.4</v>
      </c>
      <c r="R51" s="13">
        <f>Q51*Datos!$B$17</f>
        <v/>
      </c>
      <c r="S51" s="21">
        <f>P51*O51/1000/IF(C51="AF",Datos!$B$46,Datos!$B$47)</f>
        <v/>
      </c>
      <c r="T51" s="22">
        <f>IF(S51&lt;=0,0,0.25/(LOG10(Datos!$B$48/(3.7*O51/1000)+5.74/S51^0.9))^2)</f>
        <v/>
      </c>
      <c r="U51" s="11">
        <f>IF(R51=0,0,T51*R51/(O51/1000)*P51^2/(2*Datos!$B$45))</f>
        <v/>
      </c>
      <c r="V51" s="19" t="n">
        <v>0</v>
      </c>
      <c r="W51" s="11">
        <f>V51*P51^2/(2*Datos!$B$45)</f>
        <v/>
      </c>
      <c r="X51" s="11">
        <f>U51+W51</f>
        <v/>
      </c>
    </row>
    <row r="52">
      <c r="A52" s="8" t="inlineStr">
        <is>
          <t>RL3C</t>
        </is>
      </c>
      <c r="B52" s="4" t="inlineStr">
        <is>
          <t>Ramal planta O: T1/B2 → T2/B3</t>
        </is>
      </c>
      <c r="C52" s="4" t="inlineStr">
        <is>
          <t>ACS</t>
        </is>
      </c>
      <c r="D52" s="4" t="inlineStr">
        <is>
          <t>MC</t>
        </is>
      </c>
      <c r="E52" s="5" t="n">
        <v>8</v>
      </c>
      <c r="F52" s="5" t="n">
        <v>0</v>
      </c>
      <c r="G52" s="5" t="n">
        <v>0</v>
      </c>
      <c r="H52" s="9" t="n">
        <v>0</v>
      </c>
      <c r="I52" s="11">
        <f>IF(C52="AF",E52*Locales!$L$4+F52*Locales!$L$5+G52*Locales!$L$6,E52*Locales!$M$4+F52*Locales!$M$5+G52*Locales!$M$6)+H52</f>
        <v/>
      </c>
      <c r="J52" s="9" t="n">
        <v>0</v>
      </c>
      <c r="K52" s="11">
        <f>MAX(J52,IF(I52&lt;=0,0,MIN(I52,IF(I52&lt;=20,Datos!$B$25*I52^Datos!$C$25+Datos!$D$25,Datos!$B$26*I52^Datos!$C$26+Datos!$D$26))))</f>
        <v/>
      </c>
      <c r="L52" s="19" t="n">
        <v>1</v>
      </c>
      <c r="M52" s="16">
        <f>SQRT(4*K52/1000/(PI()*L52))*1000</f>
        <v/>
      </c>
      <c r="N52" s="4">
        <f>IF(D52="MC",INDEX(Tubos!$B$4:$B$12,MIN(COUNTIF(Tubos!$C$4:$C$12,"&lt;"&amp;M52)+1,9)),IF(D52="PE",INDEX(Tubos!$B$15:$B$21,MIN(COUNTIF(Tubos!$C$15:$C$21,"&lt;"&amp;M52)+1,7)),INDEX(Tubos!$B$24:$B$33,MIN(COUNTIF(Tubos!$C$24:$C$33,"&lt;"&amp;M52)+1,10))))</f>
        <v/>
      </c>
      <c r="O52" s="16">
        <f>IF(D52="MC",INDEX(Tubos!$C$4:$C$12,MIN(COUNTIF(Tubos!$C$4:$C$12,"&lt;"&amp;M52)+1,9)),IF(D52="PE",INDEX(Tubos!$C$15:$C$21,MIN(COUNTIF(Tubos!$C$15:$C$21,"&lt;"&amp;M52)+1,7)),INDEX(Tubos!$C$24:$C$33,MIN(COUNTIF(Tubos!$C$24:$C$33,"&lt;"&amp;M52)+1,10))))</f>
        <v/>
      </c>
      <c r="P52" s="13">
        <f>K52/1000/(PI()*(O52/1000)^2/4)</f>
        <v/>
      </c>
      <c r="Q52" s="20" t="n">
        <v>6.1</v>
      </c>
      <c r="R52" s="13">
        <f>Q52*Datos!$B$17</f>
        <v/>
      </c>
      <c r="S52" s="21">
        <f>P52*O52/1000/IF(C52="AF",Datos!$B$46,Datos!$B$47)</f>
        <v/>
      </c>
      <c r="T52" s="22">
        <f>IF(S52&lt;=0,0,0.25/(LOG10(Datos!$B$48/(3.7*O52/1000)+5.74/S52^0.9))^2)</f>
        <v/>
      </c>
      <c r="U52" s="11">
        <f>IF(R52=0,0,T52*R52/(O52/1000)*P52^2/(2*Datos!$B$45))</f>
        <v/>
      </c>
      <c r="V52" s="19" t="n">
        <v>0</v>
      </c>
      <c r="W52" s="11">
        <f>V52*P52^2/(2*Datos!$B$45)</f>
        <v/>
      </c>
      <c r="X52" s="11">
        <f>U52+W52</f>
        <v/>
      </c>
    </row>
    <row r="53">
      <c r="A53" s="8" t="inlineStr">
        <is>
          <t>RL4C</t>
        </is>
      </c>
      <c r="B53" s="4" t="inlineStr">
        <is>
          <t>Ramal planta O: T2/B3 → T3/B4</t>
        </is>
      </c>
      <c r="C53" s="4" t="inlineStr">
        <is>
          <t>ACS</t>
        </is>
      </c>
      <c r="D53" s="4" t="inlineStr">
        <is>
          <t>MC</t>
        </is>
      </c>
      <c r="E53" s="5" t="n">
        <v>4</v>
      </c>
      <c r="F53" s="5" t="n">
        <v>0</v>
      </c>
      <c r="G53" s="5" t="n">
        <v>0</v>
      </c>
      <c r="H53" s="9" t="n">
        <v>0</v>
      </c>
      <c r="I53" s="11">
        <f>IF(C53="AF",E53*Locales!$L$4+F53*Locales!$L$5+G53*Locales!$L$6,E53*Locales!$M$4+F53*Locales!$M$5+G53*Locales!$M$6)+H53</f>
        <v/>
      </c>
      <c r="J53" s="9" t="n">
        <v>0</v>
      </c>
      <c r="K53" s="11">
        <f>MAX(J53,IF(I53&lt;=0,0,MIN(I53,IF(I53&lt;=20,Datos!$B$25*I53^Datos!$C$25+Datos!$D$25,Datos!$B$26*I53^Datos!$C$26+Datos!$D$26))))</f>
        <v/>
      </c>
      <c r="L53" s="19" t="n">
        <v>1</v>
      </c>
      <c r="M53" s="16">
        <f>SQRT(4*K53/1000/(PI()*L53))*1000</f>
        <v/>
      </c>
      <c r="N53" s="4">
        <f>IF(D53="MC",INDEX(Tubos!$B$4:$B$12,MIN(COUNTIF(Tubos!$C$4:$C$12,"&lt;"&amp;M53)+1,9)),IF(D53="PE",INDEX(Tubos!$B$15:$B$21,MIN(COUNTIF(Tubos!$C$15:$C$21,"&lt;"&amp;M53)+1,7)),INDEX(Tubos!$B$24:$B$33,MIN(COUNTIF(Tubos!$C$24:$C$33,"&lt;"&amp;M53)+1,10))))</f>
        <v/>
      </c>
      <c r="O53" s="16">
        <f>IF(D53="MC",INDEX(Tubos!$C$4:$C$12,MIN(COUNTIF(Tubos!$C$4:$C$12,"&lt;"&amp;M53)+1,9)),IF(D53="PE",INDEX(Tubos!$C$15:$C$21,MIN(COUNTIF(Tubos!$C$15:$C$21,"&lt;"&amp;M53)+1,7)),INDEX(Tubos!$C$24:$C$33,MIN(COUNTIF(Tubos!$C$24:$C$33,"&lt;"&amp;M53)+1,10))))</f>
        <v/>
      </c>
      <c r="P53" s="13">
        <f>K53/1000/(PI()*(O53/1000)^2/4)</f>
        <v/>
      </c>
      <c r="Q53" s="20" t="n">
        <v>6.5</v>
      </c>
      <c r="R53" s="13">
        <f>Q53*Datos!$B$17</f>
        <v/>
      </c>
      <c r="S53" s="21">
        <f>P53*O53/1000/IF(C53="AF",Datos!$B$46,Datos!$B$47)</f>
        <v/>
      </c>
      <c r="T53" s="22">
        <f>IF(S53&lt;=0,0,0.25/(LOG10(Datos!$B$48/(3.7*O53/1000)+5.74/S53^0.9))^2)</f>
        <v/>
      </c>
      <c r="U53" s="11">
        <f>IF(R53=0,0,T53*R53/(O53/1000)*P53^2/(2*Datos!$B$45))</f>
        <v/>
      </c>
      <c r="V53" s="19" t="n">
        <v>0</v>
      </c>
      <c r="W53" s="11">
        <f>V53*P53^2/(2*Datos!$B$45)</f>
        <v/>
      </c>
      <c r="X53" s="11">
        <f>U53+W53</f>
        <v/>
      </c>
    </row>
    <row r="54">
      <c r="A54" s="8" t="inlineStr">
        <is>
          <t>RL5C</t>
        </is>
      </c>
      <c r="B54" s="4" t="inlineStr">
        <is>
          <t>Derivación a habitación más alejada O (T3/B4)</t>
        </is>
      </c>
      <c r="C54" s="4" t="inlineStr">
        <is>
          <t>ACS</t>
        </is>
      </c>
      <c r="D54" s="4" t="inlineStr">
        <is>
          <t>MC</t>
        </is>
      </c>
      <c r="E54" s="5" t="n">
        <v>1</v>
      </c>
      <c r="F54" s="5" t="n">
        <v>0</v>
      </c>
      <c r="G54" s="5" t="n">
        <v>0</v>
      </c>
      <c r="H54" s="9" t="n">
        <v>0</v>
      </c>
      <c r="I54" s="11">
        <f>IF(C54="AF",E54*Locales!$L$4+F54*Locales!$L$5+G54*Locales!$L$6,E54*Locales!$M$4+F54*Locales!$M$5+G54*Locales!$M$6)+H54</f>
        <v/>
      </c>
      <c r="J54" s="9" t="n">
        <v>0</v>
      </c>
      <c r="K54" s="11">
        <f>MAX(J54,IF(I54&lt;=0,0,MIN(I54,IF(I54&lt;=20,Datos!$B$25*I54^Datos!$C$25+Datos!$D$25,Datos!$B$26*I54^Datos!$C$26+Datos!$D$26))))</f>
        <v/>
      </c>
      <c r="L54" s="19" t="n">
        <v>1</v>
      </c>
      <c r="M54" s="16">
        <f>SQRT(4*K54/1000/(PI()*L54))*1000</f>
        <v/>
      </c>
      <c r="N54" s="4">
        <f>IF(D54="MC",INDEX(Tubos!$B$4:$B$12,MIN(COUNTIF(Tubos!$C$4:$C$12,"&lt;"&amp;M54)+1,9)),IF(D54="PE",INDEX(Tubos!$B$15:$B$21,MIN(COUNTIF(Tubos!$C$15:$C$21,"&lt;"&amp;M54)+1,7)),INDEX(Tubos!$B$24:$B$33,MIN(COUNTIF(Tubos!$C$24:$C$33,"&lt;"&amp;M54)+1,10))))</f>
        <v/>
      </c>
      <c r="O54" s="16">
        <f>IF(D54="MC",INDEX(Tubos!$C$4:$C$12,MIN(COUNTIF(Tubos!$C$4:$C$12,"&lt;"&amp;M54)+1,9)),IF(D54="PE",INDEX(Tubos!$C$15:$C$21,MIN(COUNTIF(Tubos!$C$15:$C$21,"&lt;"&amp;M54)+1,7)),INDEX(Tubos!$C$24:$C$33,MIN(COUNTIF(Tubos!$C$24:$C$33,"&lt;"&amp;M54)+1,10))))</f>
        <v/>
      </c>
      <c r="P54" s="13">
        <f>K54/1000/(PI()*(O54/1000)^2/4)</f>
        <v/>
      </c>
      <c r="Q54" s="20" t="n">
        <v>1.65</v>
      </c>
      <c r="R54" s="13">
        <f>Q54*Datos!$B$17</f>
        <v/>
      </c>
      <c r="S54" s="21">
        <f>P54*O54/1000/IF(C54="AF",Datos!$B$46,Datos!$B$47)</f>
        <v/>
      </c>
      <c r="T54" s="22">
        <f>IF(S54&lt;=0,0,0.25/(LOG10(Datos!$B$48/(3.7*O54/1000)+5.74/S54^0.9))^2)</f>
        <v/>
      </c>
      <c r="U54" s="11">
        <f>IF(R54=0,0,T54*R54/(O54/1000)*P54^2/(2*Datos!$B$45))</f>
        <v/>
      </c>
      <c r="V54" s="19" t="n">
        <v>0.3</v>
      </c>
      <c r="W54" s="11">
        <f>V54*P54^2/(2*Datos!$B$45)</f>
        <v/>
      </c>
      <c r="X54" s="11">
        <f>U54+W54</f>
        <v/>
      </c>
    </row>
    <row r="55">
      <c r="A55" s="8" t="inlineStr">
        <is>
          <t>RR1C</t>
        </is>
      </c>
      <c r="B55" s="4" t="inlineStr">
        <is>
          <t>Ramal planta E: patinillo → nudo hab. T7</t>
        </is>
      </c>
      <c r="C55" s="4" t="inlineStr">
        <is>
          <t>ACS</t>
        </is>
      </c>
      <c r="D55" s="4" t="inlineStr">
        <is>
          <t>MC</t>
        </is>
      </c>
      <c r="E55" s="5" t="n">
        <v>12</v>
      </c>
      <c r="F55" s="5" t="n">
        <v>0</v>
      </c>
      <c r="G55" s="5" t="n">
        <v>1</v>
      </c>
      <c r="H55" s="9" t="n">
        <v>0</v>
      </c>
      <c r="I55" s="11">
        <f>IF(C55="AF",E55*Locales!$L$4+F55*Locales!$L$5+G55*Locales!$L$6,E55*Locales!$M$4+F55*Locales!$M$5+G55*Locales!$M$6)+H55</f>
        <v/>
      </c>
      <c r="J55" s="9" t="n">
        <v>0</v>
      </c>
      <c r="K55" s="11">
        <f>MAX(J55,IF(I55&lt;=0,0,MIN(I55,IF(I55&lt;=20,Datos!$B$25*I55^Datos!$C$25+Datos!$D$25,Datos!$B$26*I55^Datos!$C$26+Datos!$D$26))))</f>
        <v/>
      </c>
      <c r="L55" s="19" t="n">
        <v>1</v>
      </c>
      <c r="M55" s="16">
        <f>SQRT(4*K55/1000/(PI()*L55))*1000</f>
        <v/>
      </c>
      <c r="N55" s="4">
        <f>IF(D55="MC",INDEX(Tubos!$B$4:$B$12,MIN(COUNTIF(Tubos!$C$4:$C$12,"&lt;"&amp;M55)+1,9)),IF(D55="PE",INDEX(Tubos!$B$15:$B$21,MIN(COUNTIF(Tubos!$C$15:$C$21,"&lt;"&amp;M55)+1,7)),INDEX(Tubos!$B$24:$B$33,MIN(COUNTIF(Tubos!$C$24:$C$33,"&lt;"&amp;M55)+1,10))))</f>
        <v/>
      </c>
      <c r="O55" s="16">
        <f>IF(D55="MC",INDEX(Tubos!$C$4:$C$12,MIN(COUNTIF(Tubos!$C$4:$C$12,"&lt;"&amp;M55)+1,9)),IF(D55="PE",INDEX(Tubos!$C$15:$C$21,MIN(COUNTIF(Tubos!$C$15:$C$21,"&lt;"&amp;M55)+1,7)),INDEX(Tubos!$C$24:$C$33,MIN(COUNTIF(Tubos!$C$24:$C$33,"&lt;"&amp;M55)+1,10))))</f>
        <v/>
      </c>
      <c r="P55" s="13">
        <f>K55/1000/(PI()*(O55/1000)^2/4)</f>
        <v/>
      </c>
      <c r="Q55" s="20" t="n">
        <v>1</v>
      </c>
      <c r="R55" s="13">
        <f>Q55*Datos!$B$17</f>
        <v/>
      </c>
      <c r="S55" s="21">
        <f>P55*O55/1000/IF(C55="AF",Datos!$B$46,Datos!$B$47)</f>
        <v/>
      </c>
      <c r="T55" s="22">
        <f>IF(S55&lt;=0,0,0.25/(LOG10(Datos!$B$48/(3.7*O55/1000)+5.74/S55^0.9))^2)</f>
        <v/>
      </c>
      <c r="U55" s="11">
        <f>IF(R55=0,0,T55*R55/(O55/1000)*P55^2/(2*Datos!$B$45))</f>
        <v/>
      </c>
      <c r="V55" s="19" t="n">
        <v>0.3</v>
      </c>
      <c r="W55" s="11">
        <f>V55*P55^2/(2*Datos!$B$45)</f>
        <v/>
      </c>
      <c r="X55" s="11">
        <f>U55+W55</f>
        <v/>
      </c>
    </row>
    <row r="56">
      <c r="A56" s="8" t="inlineStr">
        <is>
          <t>RR2C</t>
        </is>
      </c>
      <c r="B56" s="4" t="inlineStr">
        <is>
          <t>Ramal planta E: T7 → T6/B7</t>
        </is>
      </c>
      <c r="C56" s="4" t="inlineStr">
        <is>
          <t>ACS</t>
        </is>
      </c>
      <c r="D56" s="4" t="inlineStr">
        <is>
          <t>MC</t>
        </is>
      </c>
      <c r="E56" s="5" t="n">
        <v>11</v>
      </c>
      <c r="F56" s="5" t="n">
        <v>0</v>
      </c>
      <c r="G56" s="5" t="n">
        <v>1</v>
      </c>
      <c r="H56" s="9" t="n">
        <v>0</v>
      </c>
      <c r="I56" s="11">
        <f>IF(C56="AF",E56*Locales!$L$4+F56*Locales!$L$5+G56*Locales!$L$6,E56*Locales!$M$4+F56*Locales!$M$5+G56*Locales!$M$6)+H56</f>
        <v/>
      </c>
      <c r="J56" s="9" t="n">
        <v>0</v>
      </c>
      <c r="K56" s="11">
        <f>MAX(J56,IF(I56&lt;=0,0,MIN(I56,IF(I56&lt;=20,Datos!$B$25*I56^Datos!$C$25+Datos!$D$25,Datos!$B$26*I56^Datos!$C$26+Datos!$D$26))))</f>
        <v/>
      </c>
      <c r="L56" s="19" t="n">
        <v>1</v>
      </c>
      <c r="M56" s="16">
        <f>SQRT(4*K56/1000/(PI()*L56))*1000</f>
        <v/>
      </c>
      <c r="N56" s="4">
        <f>IF(D56="MC",INDEX(Tubos!$B$4:$B$12,MIN(COUNTIF(Tubos!$C$4:$C$12,"&lt;"&amp;M56)+1,9)),IF(D56="PE",INDEX(Tubos!$B$15:$B$21,MIN(COUNTIF(Tubos!$C$15:$C$21,"&lt;"&amp;M56)+1,7)),INDEX(Tubos!$B$24:$B$33,MIN(COUNTIF(Tubos!$C$24:$C$33,"&lt;"&amp;M56)+1,10))))</f>
        <v/>
      </c>
      <c r="O56" s="16">
        <f>IF(D56="MC",INDEX(Tubos!$C$4:$C$12,MIN(COUNTIF(Tubos!$C$4:$C$12,"&lt;"&amp;M56)+1,9)),IF(D56="PE",INDEX(Tubos!$C$15:$C$21,MIN(COUNTIF(Tubos!$C$15:$C$21,"&lt;"&amp;M56)+1,7)),INDEX(Tubos!$C$24:$C$33,MIN(COUNTIF(Tubos!$C$24:$C$33,"&lt;"&amp;M56)+1,10))))</f>
        <v/>
      </c>
      <c r="P56" s="13">
        <f>K56/1000/(PI()*(O56/1000)^2/4)</f>
        <v/>
      </c>
      <c r="Q56" s="20" t="n">
        <v>5.5</v>
      </c>
      <c r="R56" s="13">
        <f>Q56*Datos!$B$17</f>
        <v/>
      </c>
      <c r="S56" s="21">
        <f>P56*O56/1000/IF(C56="AF",Datos!$B$46,Datos!$B$47)</f>
        <v/>
      </c>
      <c r="T56" s="22">
        <f>IF(S56&lt;=0,0,0.25/(LOG10(Datos!$B$48/(3.7*O56/1000)+5.74/S56^0.9))^2)</f>
        <v/>
      </c>
      <c r="U56" s="11">
        <f>IF(R56=0,0,T56*R56/(O56/1000)*P56^2/(2*Datos!$B$45))</f>
        <v/>
      </c>
      <c r="V56" s="19" t="n">
        <v>0</v>
      </c>
      <c r="W56" s="11">
        <f>V56*P56^2/(2*Datos!$B$45)</f>
        <v/>
      </c>
      <c r="X56" s="11">
        <f>U56+W56</f>
        <v/>
      </c>
    </row>
    <row r="57">
      <c r="A57" s="8" t="inlineStr">
        <is>
          <t>RR3C</t>
        </is>
      </c>
      <c r="B57" s="4" t="inlineStr">
        <is>
          <t>Ramal planta E: T6/B7 → oficio</t>
        </is>
      </c>
      <c r="C57" s="4" t="inlineStr">
        <is>
          <t>ACS</t>
        </is>
      </c>
      <c r="D57" s="4" t="inlineStr">
        <is>
          <t>MC</t>
        </is>
      </c>
      <c r="E57" s="5" t="n">
        <v>7</v>
      </c>
      <c r="F57" s="5" t="n">
        <v>0</v>
      </c>
      <c r="G57" s="5" t="n">
        <v>1</v>
      </c>
      <c r="H57" s="9" t="n">
        <v>0</v>
      </c>
      <c r="I57" s="11">
        <f>IF(C57="AF",E57*Locales!$L$4+F57*Locales!$L$5+G57*Locales!$L$6,E57*Locales!$M$4+F57*Locales!$M$5+G57*Locales!$M$6)+H57</f>
        <v/>
      </c>
      <c r="J57" s="9" t="n">
        <v>0</v>
      </c>
      <c r="K57" s="11">
        <f>MAX(J57,IF(I57&lt;=0,0,MIN(I57,IF(I57&lt;=20,Datos!$B$25*I57^Datos!$C$25+Datos!$D$25,Datos!$B$26*I57^Datos!$C$26+Datos!$D$26))))</f>
        <v/>
      </c>
      <c r="L57" s="19" t="n">
        <v>1</v>
      </c>
      <c r="M57" s="16">
        <f>SQRT(4*K57/1000/(PI()*L57))*1000</f>
        <v/>
      </c>
      <c r="N57" s="4">
        <f>IF(D57="MC",INDEX(Tubos!$B$4:$B$12,MIN(COUNTIF(Tubos!$C$4:$C$12,"&lt;"&amp;M57)+1,9)),IF(D57="PE",INDEX(Tubos!$B$15:$B$21,MIN(COUNTIF(Tubos!$C$15:$C$21,"&lt;"&amp;M57)+1,7)),INDEX(Tubos!$B$24:$B$33,MIN(COUNTIF(Tubos!$C$24:$C$33,"&lt;"&amp;M57)+1,10))))</f>
        <v/>
      </c>
      <c r="O57" s="16">
        <f>IF(D57="MC",INDEX(Tubos!$C$4:$C$12,MIN(COUNTIF(Tubos!$C$4:$C$12,"&lt;"&amp;M57)+1,9)),IF(D57="PE",INDEX(Tubos!$C$15:$C$21,MIN(COUNTIF(Tubos!$C$15:$C$21,"&lt;"&amp;M57)+1,7)),INDEX(Tubos!$C$24:$C$33,MIN(COUNTIF(Tubos!$C$24:$C$33,"&lt;"&amp;M57)+1,10))))</f>
        <v/>
      </c>
      <c r="P57" s="13">
        <f>K57/1000/(PI()*(O57/1000)^2/4)</f>
        <v/>
      </c>
      <c r="Q57" s="20" t="n">
        <v>4.9</v>
      </c>
      <c r="R57" s="13">
        <f>Q57*Datos!$B$17</f>
        <v/>
      </c>
      <c r="S57" s="21">
        <f>P57*O57/1000/IF(C57="AF",Datos!$B$46,Datos!$B$47)</f>
        <v/>
      </c>
      <c r="T57" s="22">
        <f>IF(S57&lt;=0,0,0.25/(LOG10(Datos!$B$48/(3.7*O57/1000)+5.74/S57^0.9))^2)</f>
        <v/>
      </c>
      <c r="U57" s="11">
        <f>IF(R57=0,0,T57*R57/(O57/1000)*P57^2/(2*Datos!$B$45))</f>
        <v/>
      </c>
      <c r="V57" s="19" t="n">
        <v>0</v>
      </c>
      <c r="W57" s="11">
        <f>V57*P57^2/(2*Datos!$B$45)</f>
        <v/>
      </c>
      <c r="X57" s="11">
        <f>U57+W57</f>
        <v/>
      </c>
    </row>
    <row r="58">
      <c r="A58" s="8" t="inlineStr">
        <is>
          <t>RR4C</t>
        </is>
      </c>
      <c r="B58" s="4" t="inlineStr">
        <is>
          <t>Ramal planta E: oficio → T5/B6</t>
        </is>
      </c>
      <c r="C58" s="4" t="inlineStr">
        <is>
          <t>ACS</t>
        </is>
      </c>
      <c r="D58" s="4" t="inlineStr">
        <is>
          <t>MC</t>
        </is>
      </c>
      <c r="E58" s="5" t="n">
        <v>7</v>
      </c>
      <c r="F58" s="5" t="n">
        <v>0</v>
      </c>
      <c r="G58" s="5" t="n">
        <v>0</v>
      </c>
      <c r="H58" s="9" t="n">
        <v>0</v>
      </c>
      <c r="I58" s="11">
        <f>IF(C58="AF",E58*Locales!$L$4+F58*Locales!$L$5+G58*Locales!$L$6,E58*Locales!$M$4+F58*Locales!$M$5+G58*Locales!$M$6)+H58</f>
        <v/>
      </c>
      <c r="J58" s="9" t="n">
        <v>0</v>
      </c>
      <c r="K58" s="11">
        <f>MAX(J58,IF(I58&lt;=0,0,MIN(I58,IF(I58&lt;=20,Datos!$B$25*I58^Datos!$C$25+Datos!$D$25,Datos!$B$26*I58^Datos!$C$26+Datos!$D$26))))</f>
        <v/>
      </c>
      <c r="L58" s="19" t="n">
        <v>1</v>
      </c>
      <c r="M58" s="16">
        <f>SQRT(4*K58/1000/(PI()*L58))*1000</f>
        <v/>
      </c>
      <c r="N58" s="4">
        <f>IF(D58="MC",INDEX(Tubos!$B$4:$B$12,MIN(COUNTIF(Tubos!$C$4:$C$12,"&lt;"&amp;M58)+1,9)),IF(D58="PE",INDEX(Tubos!$B$15:$B$21,MIN(COUNTIF(Tubos!$C$15:$C$21,"&lt;"&amp;M58)+1,7)),INDEX(Tubos!$B$24:$B$33,MIN(COUNTIF(Tubos!$C$24:$C$33,"&lt;"&amp;M58)+1,10))))</f>
        <v/>
      </c>
      <c r="O58" s="16">
        <f>IF(D58="MC",INDEX(Tubos!$C$4:$C$12,MIN(COUNTIF(Tubos!$C$4:$C$12,"&lt;"&amp;M58)+1,9)),IF(D58="PE",INDEX(Tubos!$C$15:$C$21,MIN(COUNTIF(Tubos!$C$15:$C$21,"&lt;"&amp;M58)+1,7)),INDEX(Tubos!$C$24:$C$33,MIN(COUNTIF(Tubos!$C$24:$C$33,"&lt;"&amp;M58)+1,10))))</f>
        <v/>
      </c>
      <c r="P58" s="13">
        <f>K58/1000/(PI()*(O58/1000)^2/4)</f>
        <v/>
      </c>
      <c r="Q58" s="20" t="n">
        <v>1.6</v>
      </c>
      <c r="R58" s="13">
        <f>Q58*Datos!$B$17</f>
        <v/>
      </c>
      <c r="S58" s="21">
        <f>P58*O58/1000/IF(C58="AF",Datos!$B$46,Datos!$B$47)</f>
        <v/>
      </c>
      <c r="T58" s="22">
        <f>IF(S58&lt;=0,0,0.25/(LOG10(Datos!$B$48/(3.7*O58/1000)+5.74/S58^0.9))^2)</f>
        <v/>
      </c>
      <c r="U58" s="11">
        <f>IF(R58=0,0,T58*R58/(O58/1000)*P58^2/(2*Datos!$B$45))</f>
        <v/>
      </c>
      <c r="V58" s="19" t="n">
        <v>0</v>
      </c>
      <c r="W58" s="11">
        <f>V58*P58^2/(2*Datos!$B$45)</f>
        <v/>
      </c>
      <c r="X58" s="11">
        <f>U58+W58</f>
        <v/>
      </c>
    </row>
    <row r="59">
      <c r="A59" s="8" t="inlineStr">
        <is>
          <t>RR5C</t>
        </is>
      </c>
      <c r="B59" s="4" t="inlineStr">
        <is>
          <t>Ramal planta E: T5/B6 → T4/B5</t>
        </is>
      </c>
      <c r="C59" s="4" t="inlineStr">
        <is>
          <t>ACS</t>
        </is>
      </c>
      <c r="D59" s="4" t="inlineStr">
        <is>
          <t>MC</t>
        </is>
      </c>
      <c r="E59" s="5" t="n">
        <v>4</v>
      </c>
      <c r="F59" s="5" t="n">
        <v>0</v>
      </c>
      <c r="G59" s="5" t="n">
        <v>0</v>
      </c>
      <c r="H59" s="9" t="n">
        <v>0</v>
      </c>
      <c r="I59" s="11">
        <f>IF(C59="AF",E59*Locales!$L$4+F59*Locales!$L$5+G59*Locales!$L$6,E59*Locales!$M$4+F59*Locales!$M$5+G59*Locales!$M$6)+H59</f>
        <v/>
      </c>
      <c r="J59" s="9" t="n">
        <v>0</v>
      </c>
      <c r="K59" s="11">
        <f>MAX(J59,IF(I59&lt;=0,0,MIN(I59,IF(I59&lt;=20,Datos!$B$25*I59^Datos!$C$25+Datos!$D$25,Datos!$B$26*I59^Datos!$C$26+Datos!$D$26))))</f>
        <v/>
      </c>
      <c r="L59" s="19" t="n">
        <v>1</v>
      </c>
      <c r="M59" s="16">
        <f>SQRT(4*K59/1000/(PI()*L59))*1000</f>
        <v/>
      </c>
      <c r="N59" s="4">
        <f>IF(D59="MC",INDEX(Tubos!$B$4:$B$12,MIN(COUNTIF(Tubos!$C$4:$C$12,"&lt;"&amp;M59)+1,9)),IF(D59="PE",INDEX(Tubos!$B$15:$B$21,MIN(COUNTIF(Tubos!$C$15:$C$21,"&lt;"&amp;M59)+1,7)),INDEX(Tubos!$B$24:$B$33,MIN(COUNTIF(Tubos!$C$24:$C$33,"&lt;"&amp;M59)+1,10))))</f>
        <v/>
      </c>
      <c r="O59" s="16">
        <f>IF(D59="MC",INDEX(Tubos!$C$4:$C$12,MIN(COUNTIF(Tubos!$C$4:$C$12,"&lt;"&amp;M59)+1,9)),IF(D59="PE",INDEX(Tubos!$C$15:$C$21,MIN(COUNTIF(Tubos!$C$15:$C$21,"&lt;"&amp;M59)+1,7)),INDEX(Tubos!$C$24:$C$33,MIN(COUNTIF(Tubos!$C$24:$C$33,"&lt;"&amp;M59)+1,10))))</f>
        <v/>
      </c>
      <c r="P59" s="13">
        <f>K59/1000/(PI()*(O59/1000)^2/4)</f>
        <v/>
      </c>
      <c r="Q59" s="20" t="n">
        <v>6.5</v>
      </c>
      <c r="R59" s="13">
        <f>Q59*Datos!$B$17</f>
        <v/>
      </c>
      <c r="S59" s="21">
        <f>P59*O59/1000/IF(C59="AF",Datos!$B$46,Datos!$B$47)</f>
        <v/>
      </c>
      <c r="T59" s="22">
        <f>IF(S59&lt;=0,0,0.25/(LOG10(Datos!$B$48/(3.7*O59/1000)+5.74/S59^0.9))^2)</f>
        <v/>
      </c>
      <c r="U59" s="11">
        <f>IF(R59=0,0,T59*R59/(O59/1000)*P59^2/(2*Datos!$B$45))</f>
        <v/>
      </c>
      <c r="V59" s="19" t="n">
        <v>0</v>
      </c>
      <c r="W59" s="11">
        <f>V59*P59^2/(2*Datos!$B$45)</f>
        <v/>
      </c>
      <c r="X59" s="11">
        <f>U59+W59</f>
        <v/>
      </c>
    </row>
    <row r="60">
      <c r="A60" s="8" t="inlineStr">
        <is>
          <t>RR6C</t>
        </is>
      </c>
      <c r="B60" s="4" t="inlineStr">
        <is>
          <t>Derivación a habitación más alejada E (T4/B5)</t>
        </is>
      </c>
      <c r="C60" s="4" t="inlineStr">
        <is>
          <t>ACS</t>
        </is>
      </c>
      <c r="D60" s="4" t="inlineStr">
        <is>
          <t>MC</t>
        </is>
      </c>
      <c r="E60" s="5" t="n">
        <v>1</v>
      </c>
      <c r="F60" s="5" t="n">
        <v>0</v>
      </c>
      <c r="G60" s="5" t="n">
        <v>0</v>
      </c>
      <c r="H60" s="9" t="n">
        <v>0</v>
      </c>
      <c r="I60" s="11">
        <f>IF(C60="AF",E60*Locales!$L$4+F60*Locales!$L$5+G60*Locales!$L$6,E60*Locales!$M$4+F60*Locales!$M$5+G60*Locales!$M$6)+H60</f>
        <v/>
      </c>
      <c r="J60" s="9" t="n">
        <v>0</v>
      </c>
      <c r="K60" s="11">
        <f>MAX(J60,IF(I60&lt;=0,0,MIN(I60,IF(I60&lt;=20,Datos!$B$25*I60^Datos!$C$25+Datos!$D$25,Datos!$B$26*I60^Datos!$C$26+Datos!$D$26))))</f>
        <v/>
      </c>
      <c r="L60" s="19" t="n">
        <v>1</v>
      </c>
      <c r="M60" s="16">
        <f>SQRT(4*K60/1000/(PI()*L60))*1000</f>
        <v/>
      </c>
      <c r="N60" s="4">
        <f>IF(D60="MC",INDEX(Tubos!$B$4:$B$12,MIN(COUNTIF(Tubos!$C$4:$C$12,"&lt;"&amp;M60)+1,9)),IF(D60="PE",INDEX(Tubos!$B$15:$B$21,MIN(COUNTIF(Tubos!$C$15:$C$21,"&lt;"&amp;M60)+1,7)),INDEX(Tubos!$B$24:$B$33,MIN(COUNTIF(Tubos!$C$24:$C$33,"&lt;"&amp;M60)+1,10))))</f>
        <v/>
      </c>
      <c r="O60" s="16">
        <f>IF(D60="MC",INDEX(Tubos!$C$4:$C$12,MIN(COUNTIF(Tubos!$C$4:$C$12,"&lt;"&amp;M60)+1,9)),IF(D60="PE",INDEX(Tubos!$C$15:$C$21,MIN(COUNTIF(Tubos!$C$15:$C$21,"&lt;"&amp;M60)+1,7)),INDEX(Tubos!$C$24:$C$33,MIN(COUNTIF(Tubos!$C$24:$C$33,"&lt;"&amp;M60)+1,10))))</f>
        <v/>
      </c>
      <c r="P60" s="13">
        <f>K60/1000/(PI()*(O60/1000)^2/4)</f>
        <v/>
      </c>
      <c r="Q60" s="20" t="n">
        <v>1.65</v>
      </c>
      <c r="R60" s="13">
        <f>Q60*Datos!$B$17</f>
        <v/>
      </c>
      <c r="S60" s="21">
        <f>P60*O60/1000/IF(C60="AF",Datos!$B$46,Datos!$B$47)</f>
        <v/>
      </c>
      <c r="T60" s="22">
        <f>IF(S60&lt;=0,0,0.25/(LOG10(Datos!$B$48/(3.7*O60/1000)+5.74/S60^0.9))^2)</f>
        <v/>
      </c>
      <c r="U60" s="11">
        <f>IF(R60=0,0,T60*R60/(O60/1000)*P60^2/(2*Datos!$B$45))</f>
        <v/>
      </c>
      <c r="V60" s="19" t="n">
        <v>0.3</v>
      </c>
      <c r="W60" s="11">
        <f>V60*P60^2/(2*Datos!$B$45)</f>
        <v/>
      </c>
      <c r="X60" s="11">
        <f>U60+W60</f>
        <v/>
      </c>
    </row>
    <row r="61">
      <c r="A61" s="8" t="inlineStr">
        <is>
          <t>H1</t>
        </is>
      </c>
      <c r="B61" s="4" t="inlineStr">
        <is>
          <t>Hab.: entrada → derivación bañera</t>
        </is>
      </c>
      <c r="C61" s="4" t="inlineStr">
        <is>
          <t>AF</t>
        </is>
      </c>
      <c r="D61" s="4" t="inlineStr">
        <is>
          <t>MC</t>
        </is>
      </c>
      <c r="E61" s="5" t="n">
        <v>1</v>
      </c>
      <c r="F61" s="5" t="n">
        <v>0</v>
      </c>
      <c r="G61" s="5" t="n">
        <v>0</v>
      </c>
      <c r="H61" s="9" t="n">
        <v>0</v>
      </c>
      <c r="I61" s="11">
        <f>IF(C61="AF",E61*Locales!$L$4+F61*Locales!$L$5+G61*Locales!$L$6,E61*Locales!$M$4+F61*Locales!$M$5+G61*Locales!$M$6)+H61</f>
        <v/>
      </c>
      <c r="J61" s="9" t="n">
        <v>0</v>
      </c>
      <c r="K61" s="11">
        <f>MAX(J61,IF(I61&lt;=0,0,MIN(I61,IF(I61&lt;=20,Datos!$B$25*I61^Datos!$C$25+Datos!$D$25,Datos!$B$26*I61^Datos!$C$26+Datos!$D$26))))</f>
        <v/>
      </c>
      <c r="L61" s="19" t="n">
        <v>0.6</v>
      </c>
      <c r="M61" s="16">
        <f>SQRT(4*K61/1000/(PI()*L61))*1000</f>
        <v/>
      </c>
      <c r="N61" s="4">
        <f>IF(D61="MC",INDEX(Tubos!$B$4:$B$12,MIN(COUNTIF(Tubos!$C$4:$C$12,"&lt;"&amp;M61)+1,9)),IF(D61="PE",INDEX(Tubos!$B$15:$B$21,MIN(COUNTIF(Tubos!$C$15:$C$21,"&lt;"&amp;M61)+1,7)),INDEX(Tubos!$B$24:$B$33,MIN(COUNTIF(Tubos!$C$24:$C$33,"&lt;"&amp;M61)+1,10))))</f>
        <v/>
      </c>
      <c r="O61" s="16">
        <f>IF(D61="MC",INDEX(Tubos!$C$4:$C$12,MIN(COUNTIF(Tubos!$C$4:$C$12,"&lt;"&amp;M61)+1,9)),IF(D61="PE",INDEX(Tubos!$C$15:$C$21,MIN(COUNTIF(Tubos!$C$15:$C$21,"&lt;"&amp;M61)+1,7)),INDEX(Tubos!$C$24:$C$33,MIN(COUNTIF(Tubos!$C$24:$C$33,"&lt;"&amp;M61)+1,10))))</f>
        <v/>
      </c>
      <c r="P61" s="13">
        <f>K61/1000/(PI()*(O61/1000)^2/4)</f>
        <v/>
      </c>
      <c r="Q61" s="20" t="n">
        <v>0.6</v>
      </c>
      <c r="R61" s="13">
        <f>Q61*Datos!$B$17</f>
        <v/>
      </c>
      <c r="S61" s="21">
        <f>P61*O61/1000/IF(C61="AF",Datos!$B$46,Datos!$B$47)</f>
        <v/>
      </c>
      <c r="T61" s="22">
        <f>IF(S61&lt;=0,0,0.25/(LOG10(Datos!$B$48/(3.7*O61/1000)+5.74/S61^0.9))^2)</f>
        <v/>
      </c>
      <c r="U61" s="11">
        <f>IF(R61=0,0,T61*R61/(O61/1000)*P61^2/(2*Datos!$B$45))</f>
        <v/>
      </c>
      <c r="V61" s="19" t="n">
        <v>0</v>
      </c>
      <c r="W61" s="11">
        <f>V61*P61^2/(2*Datos!$B$45)</f>
        <v/>
      </c>
      <c r="X61" s="11">
        <f>U61+W61</f>
        <v/>
      </c>
    </row>
    <row r="62">
      <c r="A62" s="8" t="inlineStr">
        <is>
          <t>H2</t>
        </is>
      </c>
      <c r="B62" s="4" t="inlineStr">
        <is>
          <t>Hab.: → derivación inodoro (lav+bidé+inod.)</t>
        </is>
      </c>
      <c r="C62" s="4" t="inlineStr">
        <is>
          <t>AF</t>
        </is>
      </c>
      <c r="D62" s="4" t="inlineStr">
        <is>
          <t>MC</t>
        </is>
      </c>
      <c r="E62" s="5" t="n">
        <v>0</v>
      </c>
      <c r="F62" s="5" t="n">
        <v>0</v>
      </c>
      <c r="G62" s="5" t="n">
        <v>0</v>
      </c>
      <c r="H62" s="11">
        <f>Datos!$B$31+Datos!$B$34+Datos!$B$35</f>
        <v/>
      </c>
      <c r="I62" s="11">
        <f>IF(C62="AF",E62*Locales!$L$4+F62*Locales!$L$5+G62*Locales!$L$6,E62*Locales!$M$4+F62*Locales!$M$5+G62*Locales!$M$6)+H62</f>
        <v/>
      </c>
      <c r="J62" s="9" t="n">
        <v>0</v>
      </c>
      <c r="K62" s="11">
        <f>MAX(J62,IF(I62&lt;=0,0,MIN(I62,IF(I62&lt;=20,Datos!$B$25*I62^Datos!$C$25+Datos!$D$25,Datos!$B$26*I62^Datos!$C$26+Datos!$D$26))))</f>
        <v/>
      </c>
      <c r="L62" s="19" t="n">
        <v>0.6</v>
      </c>
      <c r="M62" s="16">
        <f>SQRT(4*K62/1000/(PI()*L62))*1000</f>
        <v/>
      </c>
      <c r="N62" s="4">
        <f>IF(D62="MC",INDEX(Tubos!$B$4:$B$12,MIN(COUNTIF(Tubos!$C$4:$C$12,"&lt;"&amp;M62)+1,9)),IF(D62="PE",INDEX(Tubos!$B$15:$B$21,MIN(COUNTIF(Tubos!$C$15:$C$21,"&lt;"&amp;M62)+1,7)),INDEX(Tubos!$B$24:$B$33,MIN(COUNTIF(Tubos!$C$24:$C$33,"&lt;"&amp;M62)+1,10))))</f>
        <v/>
      </c>
      <c r="O62" s="16">
        <f>IF(D62="MC",INDEX(Tubos!$C$4:$C$12,MIN(COUNTIF(Tubos!$C$4:$C$12,"&lt;"&amp;M62)+1,9)),IF(D62="PE",INDEX(Tubos!$C$15:$C$21,MIN(COUNTIF(Tubos!$C$15:$C$21,"&lt;"&amp;M62)+1,7)),INDEX(Tubos!$C$24:$C$33,MIN(COUNTIF(Tubos!$C$24:$C$33,"&lt;"&amp;M62)+1,10))))</f>
        <v/>
      </c>
      <c r="P62" s="13">
        <f>K62/1000/(PI()*(O62/1000)^2/4)</f>
        <v/>
      </c>
      <c r="Q62" s="20" t="n">
        <v>0.4</v>
      </c>
      <c r="R62" s="13">
        <f>Q62*Datos!$B$17</f>
        <v/>
      </c>
      <c r="S62" s="21">
        <f>P62*O62/1000/IF(C62="AF",Datos!$B$46,Datos!$B$47)</f>
        <v/>
      </c>
      <c r="T62" s="22">
        <f>IF(S62&lt;=0,0,0.25/(LOG10(Datos!$B$48/(3.7*O62/1000)+5.74/S62^0.9))^2)</f>
        <v/>
      </c>
      <c r="U62" s="11">
        <f>IF(R62=0,0,T62*R62/(O62/1000)*P62^2/(2*Datos!$B$45))</f>
        <v/>
      </c>
      <c r="V62" s="19" t="n">
        <v>0</v>
      </c>
      <c r="W62" s="11">
        <f>V62*P62^2/(2*Datos!$B$45)</f>
        <v/>
      </c>
      <c r="X62" s="11">
        <f>U62+W62</f>
        <v/>
      </c>
    </row>
    <row r="63">
      <c r="A63" s="8" t="inlineStr">
        <is>
          <t>H3</t>
        </is>
      </c>
      <c r="B63" s="4" t="inlineStr">
        <is>
          <t>Hab.: → derivación bidé (lav+bidé)</t>
        </is>
      </c>
      <c r="C63" s="4" t="inlineStr">
        <is>
          <t>AF</t>
        </is>
      </c>
      <c r="D63" s="4" t="inlineStr">
        <is>
          <t>MC</t>
        </is>
      </c>
      <c r="E63" s="5" t="n">
        <v>0</v>
      </c>
      <c r="F63" s="5" t="n">
        <v>0</v>
      </c>
      <c r="G63" s="5" t="n">
        <v>0</v>
      </c>
      <c r="H63" s="11">
        <f>Datos!$B$31+Datos!$B$34</f>
        <v/>
      </c>
      <c r="I63" s="11">
        <f>IF(C63="AF",E63*Locales!$L$4+F63*Locales!$L$5+G63*Locales!$L$6,E63*Locales!$M$4+F63*Locales!$M$5+G63*Locales!$M$6)+H63</f>
        <v/>
      </c>
      <c r="J63" s="9" t="n">
        <v>0</v>
      </c>
      <c r="K63" s="11">
        <f>MAX(J63,IF(I63&lt;=0,0,MIN(I63,IF(I63&lt;=20,Datos!$B$25*I63^Datos!$C$25+Datos!$D$25,Datos!$B$26*I63^Datos!$C$26+Datos!$D$26))))</f>
        <v/>
      </c>
      <c r="L63" s="19" t="n">
        <v>0.6</v>
      </c>
      <c r="M63" s="16">
        <f>SQRT(4*K63/1000/(PI()*L63))*1000</f>
        <v/>
      </c>
      <c r="N63" s="4">
        <f>IF(D63="MC",INDEX(Tubos!$B$4:$B$12,MIN(COUNTIF(Tubos!$C$4:$C$12,"&lt;"&amp;M63)+1,9)),IF(D63="PE",INDEX(Tubos!$B$15:$B$21,MIN(COUNTIF(Tubos!$C$15:$C$21,"&lt;"&amp;M63)+1,7)),INDEX(Tubos!$B$24:$B$33,MIN(COUNTIF(Tubos!$C$24:$C$33,"&lt;"&amp;M63)+1,10))))</f>
        <v/>
      </c>
      <c r="O63" s="16">
        <f>IF(D63="MC",INDEX(Tubos!$C$4:$C$12,MIN(COUNTIF(Tubos!$C$4:$C$12,"&lt;"&amp;M63)+1,9)),IF(D63="PE",INDEX(Tubos!$C$15:$C$21,MIN(COUNTIF(Tubos!$C$15:$C$21,"&lt;"&amp;M63)+1,7)),INDEX(Tubos!$C$24:$C$33,MIN(COUNTIF(Tubos!$C$24:$C$33,"&lt;"&amp;M63)+1,10))))</f>
        <v/>
      </c>
      <c r="P63" s="13">
        <f>K63/1000/(PI()*(O63/1000)^2/4)</f>
        <v/>
      </c>
      <c r="Q63" s="20" t="n">
        <v>0.6</v>
      </c>
      <c r="R63" s="13">
        <f>Q63*Datos!$B$17</f>
        <v/>
      </c>
      <c r="S63" s="21">
        <f>P63*O63/1000/IF(C63="AF",Datos!$B$46,Datos!$B$47)</f>
        <v/>
      </c>
      <c r="T63" s="22">
        <f>IF(S63&lt;=0,0,0.25/(LOG10(Datos!$B$48/(3.7*O63/1000)+5.74/S63^0.9))^2)</f>
        <v/>
      </c>
      <c r="U63" s="11">
        <f>IF(R63=0,0,T63*R63/(O63/1000)*P63^2/(2*Datos!$B$45))</f>
        <v/>
      </c>
      <c r="V63" s="19" t="n">
        <v>0</v>
      </c>
      <c r="W63" s="11">
        <f>V63*P63^2/(2*Datos!$B$45)</f>
        <v/>
      </c>
      <c r="X63" s="11">
        <f>U63+W63</f>
        <v/>
      </c>
    </row>
    <row r="64">
      <c r="A64" s="8" t="inlineStr">
        <is>
          <t>H4</t>
        </is>
      </c>
      <c r="B64" s="4" t="inlineStr">
        <is>
          <t>Hab.: → lavabo (incl. bajada a +0,60)</t>
        </is>
      </c>
      <c r="C64" s="4" t="inlineStr">
        <is>
          <t>AF</t>
        </is>
      </c>
      <c r="D64" s="4" t="inlineStr">
        <is>
          <t>MC</t>
        </is>
      </c>
      <c r="E64" s="5" t="n">
        <v>0</v>
      </c>
      <c r="F64" s="5" t="n">
        <v>0</v>
      </c>
      <c r="G64" s="5" t="n">
        <v>0</v>
      </c>
      <c r="H64" s="11">
        <f>Datos!$B$31</f>
        <v/>
      </c>
      <c r="I64" s="11">
        <f>IF(C64="AF",E64*Locales!$L$4+F64*Locales!$L$5+G64*Locales!$L$6,E64*Locales!$M$4+F64*Locales!$M$5+G64*Locales!$M$6)+H64</f>
        <v/>
      </c>
      <c r="J64" s="11">
        <f>Datos!$B$31</f>
        <v/>
      </c>
      <c r="K64" s="11">
        <f>MAX(J64,IF(I64&lt;=0,0,MIN(I64,IF(I64&lt;=20,Datos!$B$25*I64^Datos!$C$25+Datos!$D$25,Datos!$B$26*I64^Datos!$C$26+Datos!$D$26))))</f>
        <v/>
      </c>
      <c r="L64" s="19" t="n">
        <v>0.6</v>
      </c>
      <c r="M64" s="16">
        <f>SQRT(4*K64/1000/(PI()*L64))*1000</f>
        <v/>
      </c>
      <c r="N64" s="4">
        <f>IF(D64="MC",INDEX(Tubos!$B$4:$B$12,MIN(COUNTIF(Tubos!$C$4:$C$12,"&lt;"&amp;M64)+1,9)),IF(D64="PE",INDEX(Tubos!$B$15:$B$21,MIN(COUNTIF(Tubos!$C$15:$C$21,"&lt;"&amp;M64)+1,7)),INDEX(Tubos!$B$24:$B$33,MIN(COUNTIF(Tubos!$C$24:$C$33,"&lt;"&amp;M64)+1,10))))</f>
        <v/>
      </c>
      <c r="O64" s="16">
        <f>IF(D64="MC",INDEX(Tubos!$C$4:$C$12,MIN(COUNTIF(Tubos!$C$4:$C$12,"&lt;"&amp;M64)+1,9)),IF(D64="PE",INDEX(Tubos!$C$15:$C$21,MIN(COUNTIF(Tubos!$C$15:$C$21,"&lt;"&amp;M64)+1,7)),INDEX(Tubos!$C$24:$C$33,MIN(COUNTIF(Tubos!$C$24:$C$33,"&lt;"&amp;M64)+1,10))))</f>
        <v/>
      </c>
      <c r="P64" s="13">
        <f>K64/1000/(PI()*(O64/1000)^2/4)</f>
        <v/>
      </c>
      <c r="Q64" s="20" t="n">
        <v>3.7</v>
      </c>
      <c r="R64" s="13">
        <f>Q64*Datos!$B$17</f>
        <v/>
      </c>
      <c r="S64" s="21">
        <f>P64*O64/1000/IF(C64="AF",Datos!$B$46,Datos!$B$47)</f>
        <v/>
      </c>
      <c r="T64" s="22">
        <f>IF(S64&lt;=0,0,0.25/(LOG10(Datos!$B$48/(3.7*O64/1000)+5.74/S64^0.9))^2)</f>
        <v/>
      </c>
      <c r="U64" s="11">
        <f>IF(R64=0,0,T64*R64/(O64/1000)*P64^2/(2*Datos!$B$45))</f>
        <v/>
      </c>
      <c r="V64" s="19" t="n">
        <v>2</v>
      </c>
      <c r="W64" s="11">
        <f>V64*P64^2/(2*Datos!$B$45)</f>
        <v/>
      </c>
      <c r="X64" s="11">
        <f>U64+W64</f>
        <v/>
      </c>
    </row>
    <row r="65">
      <c r="A65" s="8" t="inlineStr">
        <is>
          <t>H5</t>
        </is>
      </c>
      <c r="B65" s="4" t="inlineStr">
        <is>
          <t>Hab.: derivación → bañera (incl. bajada)</t>
        </is>
      </c>
      <c r="C65" s="4" t="inlineStr">
        <is>
          <t>AF</t>
        </is>
      </c>
      <c r="D65" s="4" t="inlineStr">
        <is>
          <t>MC</t>
        </is>
      </c>
      <c r="E65" s="5" t="n">
        <v>0</v>
      </c>
      <c r="F65" s="5" t="n">
        <v>0</v>
      </c>
      <c r="G65" s="5" t="n">
        <v>0</v>
      </c>
      <c r="H65" s="11">
        <f>Datos!$B$33</f>
        <v/>
      </c>
      <c r="I65" s="11">
        <f>IF(C65="AF",E65*Locales!$L$4+F65*Locales!$L$5+G65*Locales!$L$6,E65*Locales!$M$4+F65*Locales!$M$5+G65*Locales!$M$6)+H65</f>
        <v/>
      </c>
      <c r="J65" s="11">
        <f>Datos!$B$33</f>
        <v/>
      </c>
      <c r="K65" s="11">
        <f>MAX(J65,IF(I65&lt;=0,0,MIN(I65,IF(I65&lt;=20,Datos!$B$25*I65^Datos!$C$25+Datos!$D$25,Datos!$B$26*I65^Datos!$C$26+Datos!$D$26))))</f>
        <v/>
      </c>
      <c r="L65" s="19" t="n">
        <v>0.6</v>
      </c>
      <c r="M65" s="16">
        <f>SQRT(4*K65/1000/(PI()*L65))*1000</f>
        <v/>
      </c>
      <c r="N65" s="4">
        <f>IF(D65="MC",INDEX(Tubos!$B$4:$B$12,MIN(COUNTIF(Tubos!$C$4:$C$12,"&lt;"&amp;M65)+1,9)),IF(D65="PE",INDEX(Tubos!$B$15:$B$21,MIN(COUNTIF(Tubos!$C$15:$C$21,"&lt;"&amp;M65)+1,7)),INDEX(Tubos!$B$24:$B$33,MIN(COUNTIF(Tubos!$C$24:$C$33,"&lt;"&amp;M65)+1,10))))</f>
        <v/>
      </c>
      <c r="O65" s="16">
        <f>IF(D65="MC",INDEX(Tubos!$C$4:$C$12,MIN(COUNTIF(Tubos!$C$4:$C$12,"&lt;"&amp;M65)+1,9)),IF(D65="PE",INDEX(Tubos!$C$15:$C$21,MIN(COUNTIF(Tubos!$C$15:$C$21,"&lt;"&amp;M65)+1,7)),INDEX(Tubos!$C$24:$C$33,MIN(COUNTIF(Tubos!$C$24:$C$33,"&lt;"&amp;M65)+1,10))))</f>
        <v/>
      </c>
      <c r="P65" s="13">
        <f>K65/1000/(PI()*(O65/1000)^2/4)</f>
        <v/>
      </c>
      <c r="Q65" s="20" t="n">
        <v>2.4</v>
      </c>
      <c r="R65" s="13">
        <f>Q65*Datos!$B$17</f>
        <v/>
      </c>
      <c r="S65" s="21">
        <f>P65*O65/1000/IF(C65="AF",Datos!$B$46,Datos!$B$47)</f>
        <v/>
      </c>
      <c r="T65" s="22">
        <f>IF(S65&lt;=0,0,0.25/(LOG10(Datos!$B$48/(3.7*O65/1000)+5.74/S65^0.9))^2)</f>
        <v/>
      </c>
      <c r="U65" s="11">
        <f>IF(R65=0,0,T65*R65/(O65/1000)*P65^2/(2*Datos!$B$45))</f>
        <v/>
      </c>
      <c r="V65" s="19" t="n">
        <v>2</v>
      </c>
      <c r="W65" s="11">
        <f>V65*P65^2/(2*Datos!$B$45)</f>
        <v/>
      </c>
      <c r="X65" s="11">
        <f>U65+W65</f>
        <v/>
      </c>
    </row>
    <row r="66">
      <c r="A66" s="8" t="inlineStr">
        <is>
          <t>HC1</t>
        </is>
      </c>
      <c r="B66" s="4" t="inlineStr">
        <is>
          <t>Hab.: entrada → derivación bañera</t>
        </is>
      </c>
      <c r="C66" s="4" t="inlineStr">
        <is>
          <t>ACS</t>
        </is>
      </c>
      <c r="D66" s="4" t="inlineStr">
        <is>
          <t>MC</t>
        </is>
      </c>
      <c r="E66" s="5" t="n">
        <v>1</v>
      </c>
      <c r="F66" s="5" t="n">
        <v>0</v>
      </c>
      <c r="G66" s="5" t="n">
        <v>0</v>
      </c>
      <c r="H66" s="9" t="n">
        <v>0</v>
      </c>
      <c r="I66" s="11">
        <f>IF(C66="AF",E66*Locales!$L$4+F66*Locales!$L$5+G66*Locales!$L$6,E66*Locales!$M$4+F66*Locales!$M$5+G66*Locales!$M$6)+H66</f>
        <v/>
      </c>
      <c r="J66" s="9" t="n">
        <v>0</v>
      </c>
      <c r="K66" s="11">
        <f>MAX(J66,IF(I66&lt;=0,0,MIN(I66,IF(I66&lt;=20,Datos!$B$25*I66^Datos!$C$25+Datos!$D$25,Datos!$B$26*I66^Datos!$C$26+Datos!$D$26))))</f>
        <v/>
      </c>
      <c r="L66" s="19" t="n">
        <v>0.6</v>
      </c>
      <c r="M66" s="16">
        <f>SQRT(4*K66/1000/(PI()*L66))*1000</f>
        <v/>
      </c>
      <c r="N66" s="4">
        <f>IF(D66="MC",INDEX(Tubos!$B$4:$B$12,MIN(COUNTIF(Tubos!$C$4:$C$12,"&lt;"&amp;M66)+1,9)),IF(D66="PE",INDEX(Tubos!$B$15:$B$21,MIN(COUNTIF(Tubos!$C$15:$C$21,"&lt;"&amp;M66)+1,7)),INDEX(Tubos!$B$24:$B$33,MIN(COUNTIF(Tubos!$C$24:$C$33,"&lt;"&amp;M66)+1,10))))</f>
        <v/>
      </c>
      <c r="O66" s="16">
        <f>IF(D66="MC",INDEX(Tubos!$C$4:$C$12,MIN(COUNTIF(Tubos!$C$4:$C$12,"&lt;"&amp;M66)+1,9)),IF(D66="PE",INDEX(Tubos!$C$15:$C$21,MIN(COUNTIF(Tubos!$C$15:$C$21,"&lt;"&amp;M66)+1,7)),INDEX(Tubos!$C$24:$C$33,MIN(COUNTIF(Tubos!$C$24:$C$33,"&lt;"&amp;M66)+1,10))))</f>
        <v/>
      </c>
      <c r="P66" s="13">
        <f>K66/1000/(PI()*(O66/1000)^2/4)</f>
        <v/>
      </c>
      <c r="Q66" s="20" t="n">
        <v>0.6</v>
      </c>
      <c r="R66" s="13">
        <f>Q66*Datos!$B$17</f>
        <v/>
      </c>
      <c r="S66" s="21">
        <f>P66*O66/1000/IF(C66="AF",Datos!$B$46,Datos!$B$47)</f>
        <v/>
      </c>
      <c r="T66" s="22">
        <f>IF(S66&lt;=0,0,0.25/(LOG10(Datos!$B$48/(3.7*O66/1000)+5.74/S66^0.9))^2)</f>
        <v/>
      </c>
      <c r="U66" s="11">
        <f>IF(R66=0,0,T66*R66/(O66/1000)*P66^2/(2*Datos!$B$45))</f>
        <v/>
      </c>
      <c r="V66" s="19" t="n">
        <v>0</v>
      </c>
      <c r="W66" s="11">
        <f>V66*P66^2/(2*Datos!$B$45)</f>
        <v/>
      </c>
      <c r="X66" s="11">
        <f>U66+W66</f>
        <v/>
      </c>
    </row>
    <row r="67">
      <c r="A67" s="8" t="inlineStr">
        <is>
          <t>HC2</t>
        </is>
      </c>
      <c r="B67" s="4" t="inlineStr">
        <is>
          <t>Hab.: → derivación bidé (lav+bidé)</t>
        </is>
      </c>
      <c r="C67" s="4" t="inlineStr">
        <is>
          <t>ACS</t>
        </is>
      </c>
      <c r="D67" s="4" t="inlineStr">
        <is>
          <t>MC</t>
        </is>
      </c>
      <c r="E67" s="5" t="n">
        <v>0</v>
      </c>
      <c r="F67" s="5" t="n">
        <v>0</v>
      </c>
      <c r="G67" s="5" t="n">
        <v>0</v>
      </c>
      <c r="H67" s="11">
        <f>Datos!$C$31+Datos!$C$34</f>
        <v/>
      </c>
      <c r="I67" s="11">
        <f>IF(C67="AF",E67*Locales!$L$4+F67*Locales!$L$5+G67*Locales!$L$6,E67*Locales!$M$4+F67*Locales!$M$5+G67*Locales!$M$6)+H67</f>
        <v/>
      </c>
      <c r="J67" s="9" t="n">
        <v>0</v>
      </c>
      <c r="K67" s="11">
        <f>MAX(J67,IF(I67&lt;=0,0,MIN(I67,IF(I67&lt;=20,Datos!$B$25*I67^Datos!$C$25+Datos!$D$25,Datos!$B$26*I67^Datos!$C$26+Datos!$D$26))))</f>
        <v/>
      </c>
      <c r="L67" s="19" t="n">
        <v>0.6</v>
      </c>
      <c r="M67" s="16">
        <f>SQRT(4*K67/1000/(PI()*L67))*1000</f>
        <v/>
      </c>
      <c r="N67" s="4">
        <f>IF(D67="MC",INDEX(Tubos!$B$4:$B$12,MIN(COUNTIF(Tubos!$C$4:$C$12,"&lt;"&amp;M67)+1,9)),IF(D67="PE",INDEX(Tubos!$B$15:$B$21,MIN(COUNTIF(Tubos!$C$15:$C$21,"&lt;"&amp;M67)+1,7)),INDEX(Tubos!$B$24:$B$33,MIN(COUNTIF(Tubos!$C$24:$C$33,"&lt;"&amp;M67)+1,10))))</f>
        <v/>
      </c>
      <c r="O67" s="16">
        <f>IF(D67="MC",INDEX(Tubos!$C$4:$C$12,MIN(COUNTIF(Tubos!$C$4:$C$12,"&lt;"&amp;M67)+1,9)),IF(D67="PE",INDEX(Tubos!$C$15:$C$21,MIN(COUNTIF(Tubos!$C$15:$C$21,"&lt;"&amp;M67)+1,7)),INDEX(Tubos!$C$24:$C$33,MIN(COUNTIF(Tubos!$C$24:$C$33,"&lt;"&amp;M67)+1,10))))</f>
        <v/>
      </c>
      <c r="P67" s="13">
        <f>K67/1000/(PI()*(O67/1000)^2/4)</f>
        <v/>
      </c>
      <c r="Q67" s="20" t="n">
        <v>1</v>
      </c>
      <c r="R67" s="13">
        <f>Q67*Datos!$B$17</f>
        <v/>
      </c>
      <c r="S67" s="21">
        <f>P67*O67/1000/IF(C67="AF",Datos!$B$46,Datos!$B$47)</f>
        <v/>
      </c>
      <c r="T67" s="22">
        <f>IF(S67&lt;=0,0,0.25/(LOG10(Datos!$B$48/(3.7*O67/1000)+5.74/S67^0.9))^2)</f>
        <v/>
      </c>
      <c r="U67" s="11">
        <f>IF(R67=0,0,T67*R67/(O67/1000)*P67^2/(2*Datos!$B$45))</f>
        <v/>
      </c>
      <c r="V67" s="19" t="n">
        <v>0</v>
      </c>
      <c r="W67" s="11">
        <f>V67*P67^2/(2*Datos!$B$45)</f>
        <v/>
      </c>
      <c r="X67" s="11">
        <f>U67+W67</f>
        <v/>
      </c>
    </row>
    <row r="68">
      <c r="A68" s="8" t="inlineStr">
        <is>
          <t>HC3</t>
        </is>
      </c>
      <c r="B68" s="4" t="inlineStr">
        <is>
          <t>Hab.: → lavabo (incl. bajada a +0,60)</t>
        </is>
      </c>
      <c r="C68" s="4" t="inlineStr">
        <is>
          <t>ACS</t>
        </is>
      </c>
      <c r="D68" s="4" t="inlineStr">
        <is>
          <t>MC</t>
        </is>
      </c>
      <c r="E68" s="5" t="n">
        <v>0</v>
      </c>
      <c r="F68" s="5" t="n">
        <v>0</v>
      </c>
      <c r="G68" s="5" t="n">
        <v>0</v>
      </c>
      <c r="H68" s="11">
        <f>Datos!$C$31</f>
        <v/>
      </c>
      <c r="I68" s="11">
        <f>IF(C68="AF",E68*Locales!$L$4+F68*Locales!$L$5+G68*Locales!$L$6,E68*Locales!$M$4+F68*Locales!$M$5+G68*Locales!$M$6)+H68</f>
        <v/>
      </c>
      <c r="J68" s="11">
        <f>Datos!$C$31</f>
        <v/>
      </c>
      <c r="K68" s="11">
        <f>MAX(J68,IF(I68&lt;=0,0,MIN(I68,IF(I68&lt;=20,Datos!$B$25*I68^Datos!$C$25+Datos!$D$25,Datos!$B$26*I68^Datos!$C$26+Datos!$D$26))))</f>
        <v/>
      </c>
      <c r="L68" s="19" t="n">
        <v>0.6</v>
      </c>
      <c r="M68" s="16">
        <f>SQRT(4*K68/1000/(PI()*L68))*1000</f>
        <v/>
      </c>
      <c r="N68" s="4">
        <f>IF(D68="MC",INDEX(Tubos!$B$4:$B$12,MIN(COUNTIF(Tubos!$C$4:$C$12,"&lt;"&amp;M68)+1,9)),IF(D68="PE",INDEX(Tubos!$B$15:$B$21,MIN(COUNTIF(Tubos!$C$15:$C$21,"&lt;"&amp;M68)+1,7)),INDEX(Tubos!$B$24:$B$33,MIN(COUNTIF(Tubos!$C$24:$C$33,"&lt;"&amp;M68)+1,10))))</f>
        <v/>
      </c>
      <c r="O68" s="16">
        <f>IF(D68="MC",INDEX(Tubos!$C$4:$C$12,MIN(COUNTIF(Tubos!$C$4:$C$12,"&lt;"&amp;M68)+1,9)),IF(D68="PE",INDEX(Tubos!$C$15:$C$21,MIN(COUNTIF(Tubos!$C$15:$C$21,"&lt;"&amp;M68)+1,7)),INDEX(Tubos!$C$24:$C$33,MIN(COUNTIF(Tubos!$C$24:$C$33,"&lt;"&amp;M68)+1,10))))</f>
        <v/>
      </c>
      <c r="P68" s="13">
        <f>K68/1000/(PI()*(O68/1000)^2/4)</f>
        <v/>
      </c>
      <c r="Q68" s="20" t="n">
        <v>3.7</v>
      </c>
      <c r="R68" s="13">
        <f>Q68*Datos!$B$17</f>
        <v/>
      </c>
      <c r="S68" s="21">
        <f>P68*O68/1000/IF(C68="AF",Datos!$B$46,Datos!$B$47)</f>
        <v/>
      </c>
      <c r="T68" s="22">
        <f>IF(S68&lt;=0,0,0.25/(LOG10(Datos!$B$48/(3.7*O68/1000)+5.74/S68^0.9))^2)</f>
        <v/>
      </c>
      <c r="U68" s="11">
        <f>IF(R68=0,0,T68*R68/(O68/1000)*P68^2/(2*Datos!$B$45))</f>
        <v/>
      </c>
      <c r="V68" s="19" t="n">
        <v>2</v>
      </c>
      <c r="W68" s="11">
        <f>V68*P68^2/(2*Datos!$B$45)</f>
        <v/>
      </c>
      <c r="X68" s="11">
        <f>U68+W68</f>
        <v/>
      </c>
    </row>
    <row r="69">
      <c r="A69" s="8" t="inlineStr">
        <is>
          <t>HC4</t>
        </is>
      </c>
      <c r="B69" s="4" t="inlineStr">
        <is>
          <t>Hab.: derivación → bañera (incl. bajada)</t>
        </is>
      </c>
      <c r="C69" s="4" t="inlineStr">
        <is>
          <t>ACS</t>
        </is>
      </c>
      <c r="D69" s="4" t="inlineStr">
        <is>
          <t>MC</t>
        </is>
      </c>
      <c r="E69" s="5" t="n">
        <v>0</v>
      </c>
      <c r="F69" s="5" t="n">
        <v>0</v>
      </c>
      <c r="G69" s="5" t="n">
        <v>0</v>
      </c>
      <c r="H69" s="11">
        <f>Datos!$C$33</f>
        <v/>
      </c>
      <c r="I69" s="11">
        <f>IF(C69="AF",E69*Locales!$L$4+F69*Locales!$L$5+G69*Locales!$L$6,E69*Locales!$M$4+F69*Locales!$M$5+G69*Locales!$M$6)+H69</f>
        <v/>
      </c>
      <c r="J69" s="11">
        <f>Datos!$C$33</f>
        <v/>
      </c>
      <c r="K69" s="11">
        <f>MAX(J69,IF(I69&lt;=0,0,MIN(I69,IF(I69&lt;=20,Datos!$B$25*I69^Datos!$C$25+Datos!$D$25,Datos!$B$26*I69^Datos!$C$26+Datos!$D$26))))</f>
        <v/>
      </c>
      <c r="L69" s="19" t="n">
        <v>0.6</v>
      </c>
      <c r="M69" s="16">
        <f>SQRT(4*K69/1000/(PI()*L69))*1000</f>
        <v/>
      </c>
      <c r="N69" s="4">
        <f>IF(D69="MC",INDEX(Tubos!$B$4:$B$12,MIN(COUNTIF(Tubos!$C$4:$C$12,"&lt;"&amp;M69)+1,9)),IF(D69="PE",INDEX(Tubos!$B$15:$B$21,MIN(COUNTIF(Tubos!$C$15:$C$21,"&lt;"&amp;M69)+1,7)),INDEX(Tubos!$B$24:$B$33,MIN(COUNTIF(Tubos!$C$24:$C$33,"&lt;"&amp;M69)+1,10))))</f>
        <v/>
      </c>
      <c r="O69" s="16">
        <f>IF(D69="MC",INDEX(Tubos!$C$4:$C$12,MIN(COUNTIF(Tubos!$C$4:$C$12,"&lt;"&amp;M69)+1,9)),IF(D69="PE",INDEX(Tubos!$C$15:$C$21,MIN(COUNTIF(Tubos!$C$15:$C$21,"&lt;"&amp;M69)+1,7)),INDEX(Tubos!$C$24:$C$33,MIN(COUNTIF(Tubos!$C$24:$C$33,"&lt;"&amp;M69)+1,10))))</f>
        <v/>
      </c>
      <c r="P69" s="13">
        <f>K69/1000/(PI()*(O69/1000)^2/4)</f>
        <v/>
      </c>
      <c r="Q69" s="20" t="n">
        <v>2.4</v>
      </c>
      <c r="R69" s="13">
        <f>Q69*Datos!$B$17</f>
        <v/>
      </c>
      <c r="S69" s="21">
        <f>P69*O69/1000/IF(C69="AF",Datos!$B$46,Datos!$B$47)</f>
        <v/>
      </c>
      <c r="T69" s="22">
        <f>IF(S69&lt;=0,0,0.25/(LOG10(Datos!$B$48/(3.7*O69/1000)+5.74/S69^0.9))^2)</f>
        <v/>
      </c>
      <c r="U69" s="11">
        <f>IF(R69=0,0,T69*R69/(O69/1000)*P69^2/(2*Datos!$B$45))</f>
        <v/>
      </c>
      <c r="V69" s="19" t="n">
        <v>2</v>
      </c>
      <c r="W69" s="11">
        <f>V69*P69^2/(2*Datos!$B$45)</f>
        <v/>
      </c>
      <c r="X69" s="11">
        <f>U69+W69</f>
        <v/>
      </c>
    </row>
    <row r="70">
      <c r="A70" s="8" t="inlineStr">
        <is>
          <t>BC1</t>
        </is>
      </c>
      <c r="B70" s="4" t="inlineStr">
        <is>
          <t>Alimentación AF a producción ACS (grupo → cuarto ACS)</t>
        </is>
      </c>
      <c r="C70" s="4" t="inlineStr">
        <is>
          <t>AF</t>
        </is>
      </c>
      <c r="D70" s="4" t="inlineStr">
        <is>
          <t>MC</t>
        </is>
      </c>
      <c r="E70" s="5" t="n">
        <v>0</v>
      </c>
      <c r="F70" s="5" t="n">
        <v>0</v>
      </c>
      <c r="G70" s="5" t="n">
        <v>0</v>
      </c>
      <c r="H70" s="11">
        <f>Plantas!$R$17</f>
        <v/>
      </c>
      <c r="I70" s="11">
        <f>IF(C70="AF",E70*Locales!$L$4+F70*Locales!$L$5+G70*Locales!$L$6,E70*Locales!$M$4+F70*Locales!$M$5+G70*Locales!$M$6)+H70</f>
        <v/>
      </c>
      <c r="J70" s="9" t="n">
        <v>0</v>
      </c>
      <c r="K70" s="11">
        <f>MAX(J70,IF(I70&lt;=0,0,MIN(I70,IF(I70&lt;=20,Datos!$B$25*I70^Datos!$C$25+Datos!$D$25,Datos!$B$26*I70^Datos!$C$26+Datos!$D$26))))</f>
        <v/>
      </c>
      <c r="L70" s="19" t="n">
        <v>1</v>
      </c>
      <c r="M70" s="16">
        <f>SQRT(4*K70/1000/(PI()*L70))*1000</f>
        <v/>
      </c>
      <c r="N70" s="4">
        <f>IF(D70="MC",INDEX(Tubos!$B$4:$B$12,MIN(COUNTIF(Tubos!$C$4:$C$12,"&lt;"&amp;M70)+1,9)),IF(D70="PE",INDEX(Tubos!$B$15:$B$21,MIN(COUNTIF(Tubos!$C$15:$C$21,"&lt;"&amp;M70)+1,7)),INDEX(Tubos!$B$24:$B$33,MIN(COUNTIF(Tubos!$C$24:$C$33,"&lt;"&amp;M70)+1,10))))</f>
        <v/>
      </c>
      <c r="O70" s="16">
        <f>IF(D70="MC",INDEX(Tubos!$C$4:$C$12,MIN(COUNTIF(Tubos!$C$4:$C$12,"&lt;"&amp;M70)+1,9)),IF(D70="PE",INDEX(Tubos!$C$15:$C$21,MIN(COUNTIF(Tubos!$C$15:$C$21,"&lt;"&amp;M70)+1,7)),INDEX(Tubos!$C$24:$C$33,MIN(COUNTIF(Tubos!$C$24:$C$33,"&lt;"&amp;M70)+1,10))))</f>
        <v/>
      </c>
      <c r="P70" s="13">
        <f>K70/1000/(PI()*(O70/1000)^2/4)</f>
        <v/>
      </c>
      <c r="Q70" s="20" t="n">
        <v>8</v>
      </c>
      <c r="R70" s="13">
        <f>Q70*Datos!$B$17</f>
        <v/>
      </c>
      <c r="S70" s="21">
        <f>P70*O70/1000/IF(C70="AF",Datos!$B$46,Datos!$B$47)</f>
        <v/>
      </c>
      <c r="T70" s="22">
        <f>IF(S70&lt;=0,0,0.25/(LOG10(Datos!$B$48/(3.7*O70/1000)+5.74/S70^0.9))^2)</f>
        <v/>
      </c>
      <c r="U70" s="11">
        <f>IF(R70=0,0,T70*R70/(O70/1000)*P70^2/(2*Datos!$B$45))</f>
        <v/>
      </c>
      <c r="V70" s="19" t="n">
        <v>2.8</v>
      </c>
      <c r="W70" s="11">
        <f>V70*P70^2/(2*Datos!$B$45)</f>
        <v/>
      </c>
      <c r="X70" s="11">
        <f>U70+W70</f>
        <v/>
      </c>
    </row>
    <row r="71">
      <c r="A71" s="8" t="inlineStr">
        <is>
          <t>E5</t>
        </is>
      </c>
      <c r="B71" s="4" t="inlineStr">
        <is>
          <t>Acumuladores ACS (entrada + salida)</t>
        </is>
      </c>
      <c r="C71" s="4" t="inlineStr">
        <is>
          <t>AF</t>
        </is>
      </c>
      <c r="D71" s="4" t="inlineStr">
        <is>
          <t>VAL</t>
        </is>
      </c>
      <c r="E71" s="5" t="n">
        <v>0</v>
      </c>
      <c r="F71" s="5" t="n">
        <v>0</v>
      </c>
      <c r="G71" s="5" t="n">
        <v>0</v>
      </c>
      <c r="H71" s="11">
        <f>Plantas!$R$17</f>
        <v/>
      </c>
      <c r="I71" s="11">
        <f>IF(C71="AF",E71*Locales!$L$4+F71*Locales!$L$5+G71*Locales!$L$6,E71*Locales!$M$4+F71*Locales!$M$5+G71*Locales!$M$6)+H71</f>
        <v/>
      </c>
      <c r="J71" s="9" t="n">
        <v>0</v>
      </c>
      <c r="K71" s="11">
        <f>MAX(J71,IF(I71&lt;=0,0,MIN(I71,IF(I71&lt;=20,Datos!$B$25*I71^Datos!$C$25+Datos!$D$25,Datos!$B$26*I71^Datos!$C$26+Datos!$D$26))))</f>
        <v/>
      </c>
      <c r="L71" s="19" t="n">
        <v>1</v>
      </c>
      <c r="M71" s="16">
        <f>SQRT(4*K71/1000/(PI()*L71))*1000</f>
        <v/>
      </c>
      <c r="N71" s="4">
        <f>IF(D71="MC",INDEX(Tubos!$B$4:$B$12,MIN(COUNTIF(Tubos!$C$4:$C$12,"&lt;"&amp;M71)+1,9)),IF(D71="PE",INDEX(Tubos!$B$15:$B$21,MIN(COUNTIF(Tubos!$C$15:$C$21,"&lt;"&amp;M71)+1,7)),INDEX(Tubos!$B$24:$B$33,MIN(COUNTIF(Tubos!$C$24:$C$33,"&lt;"&amp;M71)+1,10))))</f>
        <v/>
      </c>
      <c r="O71" s="16">
        <f>IF(D71="MC",INDEX(Tubos!$C$4:$C$12,MIN(COUNTIF(Tubos!$C$4:$C$12,"&lt;"&amp;M71)+1,9)),IF(D71="PE",INDEX(Tubos!$C$15:$C$21,MIN(COUNTIF(Tubos!$C$15:$C$21,"&lt;"&amp;M71)+1,7)),INDEX(Tubos!$C$24:$C$33,MIN(COUNTIF(Tubos!$C$24:$C$33,"&lt;"&amp;M71)+1,10))))</f>
        <v/>
      </c>
      <c r="P71" s="13">
        <f>K71/1000/(PI()*(O71/1000)^2/4)</f>
        <v/>
      </c>
      <c r="Q71" s="20" t="n">
        <v>0</v>
      </c>
      <c r="R71" s="13">
        <f>Q71*Datos!$B$17</f>
        <v/>
      </c>
      <c r="S71" s="21">
        <f>P71*O71/1000/IF(C71="AF",Datos!$B$46,Datos!$B$47)</f>
        <v/>
      </c>
      <c r="T71" s="22">
        <f>IF(S71&lt;=0,0,0.25/(LOG10(Datos!$B$48/(3.7*O71/1000)+5.74/S71^0.9))^2)</f>
        <v/>
      </c>
      <c r="U71" s="11">
        <f>IF(R71=0,0,T71*R71/(O71/1000)*P71^2/(2*Datos!$B$45))</f>
        <v/>
      </c>
      <c r="V71" s="19" t="n">
        <v>3</v>
      </c>
      <c r="W71" s="11">
        <f>V71*P71^2/(2*Datos!$B$45)</f>
        <v/>
      </c>
      <c r="X71" s="11">
        <f>U71+W71</f>
        <v/>
      </c>
    </row>
    <row r="72">
      <c r="A72" s="8" t="inlineStr">
        <is>
          <t>CAL1</t>
        </is>
      </c>
      <c r="B72" s="4" t="inlineStr">
        <is>
          <t>ACS alta: cuarto ACS → base patinillo O</t>
        </is>
      </c>
      <c r="C72" s="4" t="inlineStr">
        <is>
          <t>ACS</t>
        </is>
      </c>
      <c r="D72" s="4" t="inlineStr">
        <is>
          <t>MC</t>
        </is>
      </c>
      <c r="E72" s="5" t="n">
        <v>48</v>
      </c>
      <c r="F72" s="5" t="n">
        <v>8</v>
      </c>
      <c r="G72" s="5" t="n">
        <v>0</v>
      </c>
      <c r="H72" s="9" t="n">
        <v>0</v>
      </c>
      <c r="I72" s="11">
        <f>IF(C72="AF",E72*Locales!$L$4+F72*Locales!$L$5+G72*Locales!$L$6,E72*Locales!$M$4+F72*Locales!$M$5+G72*Locales!$M$6)+H72</f>
        <v/>
      </c>
      <c r="J72" s="9" t="n">
        <v>0</v>
      </c>
      <c r="K72" s="11">
        <f>MAX(J72,IF(I72&lt;=0,0,MIN(I72,IF(I72&lt;=20,Datos!$B$25*I72^Datos!$C$25+Datos!$D$25,Datos!$B$26*I72^Datos!$C$26+Datos!$D$26))))</f>
        <v/>
      </c>
      <c r="L72" s="19" t="n">
        <v>1</v>
      </c>
      <c r="M72" s="16">
        <f>SQRT(4*K72/1000/(PI()*L72))*1000</f>
        <v/>
      </c>
      <c r="N72" s="4">
        <f>IF(D72="MC",INDEX(Tubos!$B$4:$B$12,MIN(COUNTIF(Tubos!$C$4:$C$12,"&lt;"&amp;M72)+1,9)),IF(D72="PE",INDEX(Tubos!$B$15:$B$21,MIN(COUNTIF(Tubos!$C$15:$C$21,"&lt;"&amp;M72)+1,7)),INDEX(Tubos!$B$24:$B$33,MIN(COUNTIF(Tubos!$C$24:$C$33,"&lt;"&amp;M72)+1,10))))</f>
        <v/>
      </c>
      <c r="O72" s="16">
        <f>IF(D72="MC",INDEX(Tubos!$C$4:$C$12,MIN(COUNTIF(Tubos!$C$4:$C$12,"&lt;"&amp;M72)+1,9)),IF(D72="PE",INDEX(Tubos!$C$15:$C$21,MIN(COUNTIF(Tubos!$C$15:$C$21,"&lt;"&amp;M72)+1,7)),INDEX(Tubos!$C$24:$C$33,MIN(COUNTIF(Tubos!$C$24:$C$33,"&lt;"&amp;M72)+1,10))))</f>
        <v/>
      </c>
      <c r="P72" s="13">
        <f>K72/1000/(PI()*(O72/1000)^2/4)</f>
        <v/>
      </c>
      <c r="Q72" s="20" t="n">
        <v>20.7</v>
      </c>
      <c r="R72" s="13">
        <f>Q72*Datos!$B$17</f>
        <v/>
      </c>
      <c r="S72" s="21">
        <f>P72*O72/1000/IF(C72="AF",Datos!$B$46,Datos!$B$47)</f>
        <v/>
      </c>
      <c r="T72" s="22">
        <f>IF(S72&lt;=0,0,0.25/(LOG10(Datos!$B$48/(3.7*O72/1000)+5.74/S72^0.9))^2)</f>
        <v/>
      </c>
      <c r="U72" s="11">
        <f>IF(R72=0,0,T72*R72/(O72/1000)*P72^2/(2*Datos!$B$45))</f>
        <v/>
      </c>
      <c r="V72" s="19" t="n">
        <v>0.3</v>
      </c>
      <c r="W72" s="11">
        <f>V72*P72^2/(2*Datos!$B$45)</f>
        <v/>
      </c>
      <c r="X72" s="11">
        <f>U72+W72</f>
        <v/>
      </c>
    </row>
    <row r="73">
      <c r="A73" s="8" t="inlineStr">
        <is>
          <t>CAR1</t>
        </is>
      </c>
      <c r="B73" s="4" t="inlineStr">
        <is>
          <t>ACS alta: cuarto ACS → base patinillo E</t>
        </is>
      </c>
      <c r="C73" s="4" t="inlineStr">
        <is>
          <t>ACS</t>
        </is>
      </c>
      <c r="D73" s="4" t="inlineStr">
        <is>
          <t>MC</t>
        </is>
      </c>
      <c r="E73" s="5" t="n">
        <v>48</v>
      </c>
      <c r="F73" s="5" t="n">
        <v>0</v>
      </c>
      <c r="G73" s="5" t="n">
        <v>4</v>
      </c>
      <c r="H73" s="9" t="n">
        <v>0</v>
      </c>
      <c r="I73" s="11">
        <f>IF(C73="AF",E73*Locales!$L$4+F73*Locales!$L$5+G73*Locales!$L$6,E73*Locales!$M$4+F73*Locales!$M$5+G73*Locales!$M$6)+H73</f>
        <v/>
      </c>
      <c r="J73" s="9" t="n">
        <v>0</v>
      </c>
      <c r="K73" s="11">
        <f>MAX(J73,IF(I73&lt;=0,0,MIN(I73,IF(I73&lt;=20,Datos!$B$25*I73^Datos!$C$25+Datos!$D$25,Datos!$B$26*I73^Datos!$C$26+Datos!$D$26))))</f>
        <v/>
      </c>
      <c r="L73" s="19" t="n">
        <v>1</v>
      </c>
      <c r="M73" s="16">
        <f>SQRT(4*K73/1000/(PI()*L73))*1000</f>
        <v/>
      </c>
      <c r="N73" s="4">
        <f>IF(D73="MC",INDEX(Tubos!$B$4:$B$12,MIN(COUNTIF(Tubos!$C$4:$C$12,"&lt;"&amp;M73)+1,9)),IF(D73="PE",INDEX(Tubos!$B$15:$B$21,MIN(COUNTIF(Tubos!$C$15:$C$21,"&lt;"&amp;M73)+1,7)),INDEX(Tubos!$B$24:$B$33,MIN(COUNTIF(Tubos!$C$24:$C$33,"&lt;"&amp;M73)+1,10))))</f>
        <v/>
      </c>
      <c r="O73" s="16">
        <f>IF(D73="MC",INDEX(Tubos!$C$4:$C$12,MIN(COUNTIF(Tubos!$C$4:$C$12,"&lt;"&amp;M73)+1,9)),IF(D73="PE",INDEX(Tubos!$C$15:$C$21,MIN(COUNTIF(Tubos!$C$15:$C$21,"&lt;"&amp;M73)+1,7)),INDEX(Tubos!$C$24:$C$33,MIN(COUNTIF(Tubos!$C$24:$C$33,"&lt;"&amp;M73)+1,10))))</f>
        <v/>
      </c>
      <c r="P73" s="13">
        <f>K73/1000/(PI()*(O73/1000)^2/4)</f>
        <v/>
      </c>
      <c r="Q73" s="20" t="n">
        <v>39</v>
      </c>
      <c r="R73" s="13">
        <f>Q73*Datos!$B$17</f>
        <v/>
      </c>
      <c r="S73" s="21">
        <f>P73*O73/1000/IF(C73="AF",Datos!$B$46,Datos!$B$47)</f>
        <v/>
      </c>
      <c r="T73" s="22">
        <f>IF(S73&lt;=0,0,0.25/(LOG10(Datos!$B$48/(3.7*O73/1000)+5.74/S73^0.9))^2)</f>
        <v/>
      </c>
      <c r="U73" s="11">
        <f>IF(R73=0,0,T73*R73/(O73/1000)*P73^2/(2*Datos!$B$45))</f>
        <v/>
      </c>
      <c r="V73" s="19" t="n">
        <v>0.3</v>
      </c>
      <c r="W73" s="11">
        <f>V73*P73^2/(2*Datos!$B$45)</f>
        <v/>
      </c>
      <c r="X73" s="11">
        <f>U73+W73</f>
        <v/>
      </c>
    </row>
    <row r="74">
      <c r="A74" s="8" t="inlineStr">
        <is>
          <t>MCAL8</t>
        </is>
      </c>
      <c r="B74" s="4" t="inlineStr">
        <is>
          <t>Montante ACS alta O: tramo hasta planta 8</t>
        </is>
      </c>
      <c r="C74" s="4" t="inlineStr">
        <is>
          <t>ACS</t>
        </is>
      </c>
      <c r="D74" s="4" t="inlineStr">
        <is>
          <t>MC</t>
        </is>
      </c>
      <c r="E74" s="5" t="n">
        <v>48</v>
      </c>
      <c r="F74" s="5" t="n">
        <v>8</v>
      </c>
      <c r="G74" s="5" t="n">
        <v>0</v>
      </c>
      <c r="H74" s="9" t="n">
        <v>0</v>
      </c>
      <c r="I74" s="11">
        <f>IF(C74="AF",E74*Locales!$L$4+F74*Locales!$L$5+G74*Locales!$L$6,E74*Locales!$M$4+F74*Locales!$M$5+G74*Locales!$M$6)+H74</f>
        <v/>
      </c>
      <c r="J74" s="9" t="n">
        <v>0</v>
      </c>
      <c r="K74" s="11">
        <f>MAX(J74,IF(I74&lt;=0,0,MIN(I74,IF(I74&lt;=20,Datos!$B$25*I74^Datos!$C$25+Datos!$D$25,Datos!$B$26*I74^Datos!$C$26+Datos!$D$26))))</f>
        <v/>
      </c>
      <c r="L74" s="19" t="n">
        <v>1</v>
      </c>
      <c r="M74" s="16">
        <f>SQRT(4*K74/1000/(PI()*L74))*1000</f>
        <v/>
      </c>
      <c r="N74" s="4">
        <f>IF(D74="MC",INDEX(Tubos!$B$4:$B$12,MIN(COUNTIF(Tubos!$C$4:$C$12,"&lt;"&amp;M74)+1,9)),IF(D74="PE",INDEX(Tubos!$B$15:$B$21,MIN(COUNTIF(Tubos!$C$15:$C$21,"&lt;"&amp;M74)+1,7)),INDEX(Tubos!$B$24:$B$33,MIN(COUNTIF(Tubos!$C$24:$C$33,"&lt;"&amp;M74)+1,10))))</f>
        <v/>
      </c>
      <c r="O74" s="16">
        <f>IF(D74="MC",INDEX(Tubos!$C$4:$C$12,MIN(COUNTIF(Tubos!$C$4:$C$12,"&lt;"&amp;M74)+1,9)),IF(D74="PE",INDEX(Tubos!$C$15:$C$21,MIN(COUNTIF(Tubos!$C$15:$C$21,"&lt;"&amp;M74)+1,7)),INDEX(Tubos!$C$24:$C$33,MIN(COUNTIF(Tubos!$C$24:$C$33,"&lt;"&amp;M74)+1,10))))</f>
        <v/>
      </c>
      <c r="P74" s="13">
        <f>K74/1000/(PI()*(O74/1000)^2/4)</f>
        <v/>
      </c>
      <c r="Q74" s="20" t="n">
        <v>30.4</v>
      </c>
      <c r="R74" s="13">
        <f>Q74*Datos!$B$17</f>
        <v/>
      </c>
      <c r="S74" s="21">
        <f>P74*O74/1000/IF(C74="AF",Datos!$B$46,Datos!$B$47)</f>
        <v/>
      </c>
      <c r="T74" s="22">
        <f>IF(S74&lt;=0,0,0.25/(LOG10(Datos!$B$48/(3.7*O74/1000)+5.74/S74^0.9))^2)</f>
        <v/>
      </c>
      <c r="U74" s="11">
        <f>IF(R74=0,0,T74*R74/(O74/1000)*P74^2/(2*Datos!$B$45))</f>
        <v/>
      </c>
      <c r="V74" s="19" t="n">
        <v>0</v>
      </c>
      <c r="W74" s="11">
        <f>V74*P74^2/(2*Datos!$B$45)</f>
        <v/>
      </c>
      <c r="X74" s="11">
        <f>U74+W74</f>
        <v/>
      </c>
    </row>
    <row r="75">
      <c r="A75" s="8" t="inlineStr">
        <is>
          <t>MCAR8</t>
        </is>
      </c>
      <c r="B75" s="4" t="inlineStr">
        <is>
          <t>Montante ACS alta E: tramo hasta planta 8</t>
        </is>
      </c>
      <c r="C75" s="4" t="inlineStr">
        <is>
          <t>ACS</t>
        </is>
      </c>
      <c r="D75" s="4" t="inlineStr">
        <is>
          <t>MC</t>
        </is>
      </c>
      <c r="E75" s="5" t="n">
        <v>48</v>
      </c>
      <c r="F75" s="5" t="n">
        <v>0</v>
      </c>
      <c r="G75" s="5" t="n">
        <v>4</v>
      </c>
      <c r="H75" s="9" t="n">
        <v>0</v>
      </c>
      <c r="I75" s="11">
        <f>IF(C75="AF",E75*Locales!$L$4+F75*Locales!$L$5+G75*Locales!$L$6,E75*Locales!$M$4+F75*Locales!$M$5+G75*Locales!$M$6)+H75</f>
        <v/>
      </c>
      <c r="J75" s="9" t="n">
        <v>0</v>
      </c>
      <c r="K75" s="11">
        <f>MAX(J75,IF(I75&lt;=0,0,MIN(I75,IF(I75&lt;=20,Datos!$B$25*I75^Datos!$C$25+Datos!$D$25,Datos!$B$26*I75^Datos!$C$26+Datos!$D$26))))</f>
        <v/>
      </c>
      <c r="L75" s="19" t="n">
        <v>1</v>
      </c>
      <c r="M75" s="16">
        <f>SQRT(4*K75/1000/(PI()*L75))*1000</f>
        <v/>
      </c>
      <c r="N75" s="4">
        <f>IF(D75="MC",INDEX(Tubos!$B$4:$B$12,MIN(COUNTIF(Tubos!$C$4:$C$12,"&lt;"&amp;M75)+1,9)),IF(D75="PE",INDEX(Tubos!$B$15:$B$21,MIN(COUNTIF(Tubos!$C$15:$C$21,"&lt;"&amp;M75)+1,7)),INDEX(Tubos!$B$24:$B$33,MIN(COUNTIF(Tubos!$C$24:$C$33,"&lt;"&amp;M75)+1,10))))</f>
        <v/>
      </c>
      <c r="O75" s="16">
        <f>IF(D75="MC",INDEX(Tubos!$C$4:$C$12,MIN(COUNTIF(Tubos!$C$4:$C$12,"&lt;"&amp;M75)+1,9)),IF(D75="PE",INDEX(Tubos!$C$15:$C$21,MIN(COUNTIF(Tubos!$C$15:$C$21,"&lt;"&amp;M75)+1,7)),INDEX(Tubos!$C$24:$C$33,MIN(COUNTIF(Tubos!$C$24:$C$33,"&lt;"&amp;M75)+1,10))))</f>
        <v/>
      </c>
      <c r="P75" s="13">
        <f>K75/1000/(PI()*(O75/1000)^2/4)</f>
        <v/>
      </c>
      <c r="Q75" s="20" t="n">
        <v>30.4</v>
      </c>
      <c r="R75" s="13">
        <f>Q75*Datos!$B$17</f>
        <v/>
      </c>
      <c r="S75" s="21">
        <f>P75*O75/1000/IF(C75="AF",Datos!$B$46,Datos!$B$47)</f>
        <v/>
      </c>
      <c r="T75" s="22">
        <f>IF(S75&lt;=0,0,0.25/(LOG10(Datos!$B$48/(3.7*O75/1000)+5.74/S75^0.9))^2)</f>
        <v/>
      </c>
      <c r="U75" s="11">
        <f>IF(R75=0,0,T75*R75/(O75/1000)*P75^2/(2*Datos!$B$45))</f>
        <v/>
      </c>
      <c r="V75" s="19" t="n">
        <v>0</v>
      </c>
      <c r="W75" s="11">
        <f>V75*P75^2/(2*Datos!$B$45)</f>
        <v/>
      </c>
      <c r="X75" s="11">
        <f>U75+W75</f>
        <v/>
      </c>
    </row>
    <row r="76">
      <c r="A76" s="8" t="inlineStr">
        <is>
          <t>MCAL9</t>
        </is>
      </c>
      <c r="B76" s="4" t="inlineStr">
        <is>
          <t>Montante ACS alta O: tramo hasta planta 9</t>
        </is>
      </c>
      <c r="C76" s="4" t="inlineStr">
        <is>
          <t>ACS</t>
        </is>
      </c>
      <c r="D76" s="4" t="inlineStr">
        <is>
          <t>MC</t>
        </is>
      </c>
      <c r="E76" s="5" t="n">
        <v>36</v>
      </c>
      <c r="F76" s="5" t="n">
        <v>6</v>
      </c>
      <c r="G76" s="5" t="n">
        <v>0</v>
      </c>
      <c r="H76" s="9" t="n">
        <v>0</v>
      </c>
      <c r="I76" s="11">
        <f>IF(C76="AF",E76*Locales!$L$4+F76*Locales!$L$5+G76*Locales!$L$6,E76*Locales!$M$4+F76*Locales!$M$5+G76*Locales!$M$6)+H76</f>
        <v/>
      </c>
      <c r="J76" s="9" t="n">
        <v>0</v>
      </c>
      <c r="K76" s="11">
        <f>MAX(J76,IF(I76&lt;=0,0,MIN(I76,IF(I76&lt;=20,Datos!$B$25*I76^Datos!$C$25+Datos!$D$25,Datos!$B$26*I76^Datos!$C$26+Datos!$D$26))))</f>
        <v/>
      </c>
      <c r="L76" s="19" t="n">
        <v>1</v>
      </c>
      <c r="M76" s="16">
        <f>SQRT(4*K76/1000/(PI()*L76))*1000</f>
        <v/>
      </c>
      <c r="N76" s="4">
        <f>IF(D76="MC",INDEX(Tubos!$B$4:$B$12,MIN(COUNTIF(Tubos!$C$4:$C$12,"&lt;"&amp;M76)+1,9)),IF(D76="PE",INDEX(Tubos!$B$15:$B$21,MIN(COUNTIF(Tubos!$C$15:$C$21,"&lt;"&amp;M76)+1,7)),INDEX(Tubos!$B$24:$B$33,MIN(COUNTIF(Tubos!$C$24:$C$33,"&lt;"&amp;M76)+1,10))))</f>
        <v/>
      </c>
      <c r="O76" s="16">
        <f>IF(D76="MC",INDEX(Tubos!$C$4:$C$12,MIN(COUNTIF(Tubos!$C$4:$C$12,"&lt;"&amp;M76)+1,9)),IF(D76="PE",INDEX(Tubos!$C$15:$C$21,MIN(COUNTIF(Tubos!$C$15:$C$21,"&lt;"&amp;M76)+1,7)),INDEX(Tubos!$C$24:$C$33,MIN(COUNTIF(Tubos!$C$24:$C$33,"&lt;"&amp;M76)+1,10))))</f>
        <v/>
      </c>
      <c r="P76" s="13">
        <f>K76/1000/(PI()*(O76/1000)^2/4)</f>
        <v/>
      </c>
      <c r="Q76" s="20" t="n">
        <v>3.3</v>
      </c>
      <c r="R76" s="13">
        <f>Q76*Datos!$B$17</f>
        <v/>
      </c>
      <c r="S76" s="21">
        <f>P76*O76/1000/IF(C76="AF",Datos!$B$46,Datos!$B$47)</f>
        <v/>
      </c>
      <c r="T76" s="22">
        <f>IF(S76&lt;=0,0,0.25/(LOG10(Datos!$B$48/(3.7*O76/1000)+5.74/S76^0.9))^2)</f>
        <v/>
      </c>
      <c r="U76" s="11">
        <f>IF(R76=0,0,T76*R76/(O76/1000)*P76^2/(2*Datos!$B$45))</f>
        <v/>
      </c>
      <c r="V76" s="19" t="n">
        <v>0</v>
      </c>
      <c r="W76" s="11">
        <f>V76*P76^2/(2*Datos!$B$45)</f>
        <v/>
      </c>
      <c r="X76" s="11">
        <f>U76+W76</f>
        <v/>
      </c>
    </row>
    <row r="77">
      <c r="A77" s="8" t="inlineStr">
        <is>
          <t>MCAR9</t>
        </is>
      </c>
      <c r="B77" s="4" t="inlineStr">
        <is>
          <t>Montante ACS alta E: tramo hasta planta 9</t>
        </is>
      </c>
      <c r="C77" s="4" t="inlineStr">
        <is>
          <t>ACS</t>
        </is>
      </c>
      <c r="D77" s="4" t="inlineStr">
        <is>
          <t>MC</t>
        </is>
      </c>
      <c r="E77" s="5" t="n">
        <v>36</v>
      </c>
      <c r="F77" s="5" t="n">
        <v>0</v>
      </c>
      <c r="G77" s="5" t="n">
        <v>3</v>
      </c>
      <c r="H77" s="9" t="n">
        <v>0</v>
      </c>
      <c r="I77" s="11">
        <f>IF(C77="AF",E77*Locales!$L$4+F77*Locales!$L$5+G77*Locales!$L$6,E77*Locales!$M$4+F77*Locales!$M$5+G77*Locales!$M$6)+H77</f>
        <v/>
      </c>
      <c r="J77" s="9" t="n">
        <v>0</v>
      </c>
      <c r="K77" s="11">
        <f>MAX(J77,IF(I77&lt;=0,0,MIN(I77,IF(I77&lt;=20,Datos!$B$25*I77^Datos!$C$25+Datos!$D$25,Datos!$B$26*I77^Datos!$C$26+Datos!$D$26))))</f>
        <v/>
      </c>
      <c r="L77" s="19" t="n">
        <v>1</v>
      </c>
      <c r="M77" s="16">
        <f>SQRT(4*K77/1000/(PI()*L77))*1000</f>
        <v/>
      </c>
      <c r="N77" s="4">
        <f>IF(D77="MC",INDEX(Tubos!$B$4:$B$12,MIN(COUNTIF(Tubos!$C$4:$C$12,"&lt;"&amp;M77)+1,9)),IF(D77="PE",INDEX(Tubos!$B$15:$B$21,MIN(COUNTIF(Tubos!$C$15:$C$21,"&lt;"&amp;M77)+1,7)),INDEX(Tubos!$B$24:$B$33,MIN(COUNTIF(Tubos!$C$24:$C$33,"&lt;"&amp;M77)+1,10))))</f>
        <v/>
      </c>
      <c r="O77" s="16">
        <f>IF(D77="MC",INDEX(Tubos!$C$4:$C$12,MIN(COUNTIF(Tubos!$C$4:$C$12,"&lt;"&amp;M77)+1,9)),IF(D77="PE",INDEX(Tubos!$C$15:$C$21,MIN(COUNTIF(Tubos!$C$15:$C$21,"&lt;"&amp;M77)+1,7)),INDEX(Tubos!$C$24:$C$33,MIN(COUNTIF(Tubos!$C$24:$C$33,"&lt;"&amp;M77)+1,10))))</f>
        <v/>
      </c>
      <c r="P77" s="13">
        <f>K77/1000/(PI()*(O77/1000)^2/4)</f>
        <v/>
      </c>
      <c r="Q77" s="20" t="n">
        <v>3.3</v>
      </c>
      <c r="R77" s="13">
        <f>Q77*Datos!$B$17</f>
        <v/>
      </c>
      <c r="S77" s="21">
        <f>P77*O77/1000/IF(C77="AF",Datos!$B$46,Datos!$B$47)</f>
        <v/>
      </c>
      <c r="T77" s="22">
        <f>IF(S77&lt;=0,0,0.25/(LOG10(Datos!$B$48/(3.7*O77/1000)+5.74/S77^0.9))^2)</f>
        <v/>
      </c>
      <c r="U77" s="11">
        <f>IF(R77=0,0,T77*R77/(O77/1000)*P77^2/(2*Datos!$B$45))</f>
        <v/>
      </c>
      <c r="V77" s="19" t="n">
        <v>0</v>
      </c>
      <c r="W77" s="11">
        <f>V77*P77^2/(2*Datos!$B$45)</f>
        <v/>
      </c>
      <c r="X77" s="11">
        <f>U77+W77</f>
        <v/>
      </c>
    </row>
    <row r="78">
      <c r="A78" s="8" t="inlineStr">
        <is>
          <t>MCAL10</t>
        </is>
      </c>
      <c r="B78" s="4" t="inlineStr">
        <is>
          <t>Montante ACS alta O: tramo hasta planta 10</t>
        </is>
      </c>
      <c r="C78" s="4" t="inlineStr">
        <is>
          <t>ACS</t>
        </is>
      </c>
      <c r="D78" s="4" t="inlineStr">
        <is>
          <t>MC</t>
        </is>
      </c>
      <c r="E78" s="5" t="n">
        <v>24</v>
      </c>
      <c r="F78" s="5" t="n">
        <v>4</v>
      </c>
      <c r="G78" s="5" t="n">
        <v>0</v>
      </c>
      <c r="H78" s="9" t="n">
        <v>0</v>
      </c>
      <c r="I78" s="11">
        <f>IF(C78="AF",E78*Locales!$L$4+F78*Locales!$L$5+G78*Locales!$L$6,E78*Locales!$M$4+F78*Locales!$M$5+G78*Locales!$M$6)+H78</f>
        <v/>
      </c>
      <c r="J78" s="9" t="n">
        <v>0</v>
      </c>
      <c r="K78" s="11">
        <f>MAX(J78,IF(I78&lt;=0,0,MIN(I78,IF(I78&lt;=20,Datos!$B$25*I78^Datos!$C$25+Datos!$D$25,Datos!$B$26*I78^Datos!$C$26+Datos!$D$26))))</f>
        <v/>
      </c>
      <c r="L78" s="19" t="n">
        <v>1</v>
      </c>
      <c r="M78" s="16">
        <f>SQRT(4*K78/1000/(PI()*L78))*1000</f>
        <v/>
      </c>
      <c r="N78" s="4">
        <f>IF(D78="MC",INDEX(Tubos!$B$4:$B$12,MIN(COUNTIF(Tubos!$C$4:$C$12,"&lt;"&amp;M78)+1,9)),IF(D78="PE",INDEX(Tubos!$B$15:$B$21,MIN(COUNTIF(Tubos!$C$15:$C$21,"&lt;"&amp;M78)+1,7)),INDEX(Tubos!$B$24:$B$33,MIN(COUNTIF(Tubos!$C$24:$C$33,"&lt;"&amp;M78)+1,10))))</f>
        <v/>
      </c>
      <c r="O78" s="16">
        <f>IF(D78="MC",INDEX(Tubos!$C$4:$C$12,MIN(COUNTIF(Tubos!$C$4:$C$12,"&lt;"&amp;M78)+1,9)),IF(D78="PE",INDEX(Tubos!$C$15:$C$21,MIN(COUNTIF(Tubos!$C$15:$C$21,"&lt;"&amp;M78)+1,7)),INDEX(Tubos!$C$24:$C$33,MIN(COUNTIF(Tubos!$C$24:$C$33,"&lt;"&amp;M78)+1,10))))</f>
        <v/>
      </c>
      <c r="P78" s="13">
        <f>K78/1000/(PI()*(O78/1000)^2/4)</f>
        <v/>
      </c>
      <c r="Q78" s="20" t="n">
        <v>3.3</v>
      </c>
      <c r="R78" s="13">
        <f>Q78*Datos!$B$17</f>
        <v/>
      </c>
      <c r="S78" s="21">
        <f>P78*O78/1000/IF(C78="AF",Datos!$B$46,Datos!$B$47)</f>
        <v/>
      </c>
      <c r="T78" s="22">
        <f>IF(S78&lt;=0,0,0.25/(LOG10(Datos!$B$48/(3.7*O78/1000)+5.74/S78^0.9))^2)</f>
        <v/>
      </c>
      <c r="U78" s="11">
        <f>IF(R78=0,0,T78*R78/(O78/1000)*P78^2/(2*Datos!$B$45))</f>
        <v/>
      </c>
      <c r="V78" s="19" t="n">
        <v>0</v>
      </c>
      <c r="W78" s="11">
        <f>V78*P78^2/(2*Datos!$B$45)</f>
        <v/>
      </c>
      <c r="X78" s="11">
        <f>U78+W78</f>
        <v/>
      </c>
    </row>
    <row r="79">
      <c r="A79" s="8" t="inlineStr">
        <is>
          <t>MCAR10</t>
        </is>
      </c>
      <c r="B79" s="4" t="inlineStr">
        <is>
          <t>Montante ACS alta E: tramo hasta planta 10</t>
        </is>
      </c>
      <c r="C79" s="4" t="inlineStr">
        <is>
          <t>ACS</t>
        </is>
      </c>
      <c r="D79" s="4" t="inlineStr">
        <is>
          <t>MC</t>
        </is>
      </c>
      <c r="E79" s="5" t="n">
        <v>24</v>
      </c>
      <c r="F79" s="5" t="n">
        <v>0</v>
      </c>
      <c r="G79" s="5" t="n">
        <v>2</v>
      </c>
      <c r="H79" s="9" t="n">
        <v>0</v>
      </c>
      <c r="I79" s="11">
        <f>IF(C79="AF",E79*Locales!$L$4+F79*Locales!$L$5+G79*Locales!$L$6,E79*Locales!$M$4+F79*Locales!$M$5+G79*Locales!$M$6)+H79</f>
        <v/>
      </c>
      <c r="J79" s="9" t="n">
        <v>0</v>
      </c>
      <c r="K79" s="11">
        <f>MAX(J79,IF(I79&lt;=0,0,MIN(I79,IF(I79&lt;=20,Datos!$B$25*I79^Datos!$C$25+Datos!$D$25,Datos!$B$26*I79^Datos!$C$26+Datos!$D$26))))</f>
        <v/>
      </c>
      <c r="L79" s="19" t="n">
        <v>1</v>
      </c>
      <c r="M79" s="16">
        <f>SQRT(4*K79/1000/(PI()*L79))*1000</f>
        <v/>
      </c>
      <c r="N79" s="4">
        <f>IF(D79="MC",INDEX(Tubos!$B$4:$B$12,MIN(COUNTIF(Tubos!$C$4:$C$12,"&lt;"&amp;M79)+1,9)),IF(D79="PE",INDEX(Tubos!$B$15:$B$21,MIN(COUNTIF(Tubos!$C$15:$C$21,"&lt;"&amp;M79)+1,7)),INDEX(Tubos!$B$24:$B$33,MIN(COUNTIF(Tubos!$C$24:$C$33,"&lt;"&amp;M79)+1,10))))</f>
        <v/>
      </c>
      <c r="O79" s="16">
        <f>IF(D79="MC",INDEX(Tubos!$C$4:$C$12,MIN(COUNTIF(Tubos!$C$4:$C$12,"&lt;"&amp;M79)+1,9)),IF(D79="PE",INDEX(Tubos!$C$15:$C$21,MIN(COUNTIF(Tubos!$C$15:$C$21,"&lt;"&amp;M79)+1,7)),INDEX(Tubos!$C$24:$C$33,MIN(COUNTIF(Tubos!$C$24:$C$33,"&lt;"&amp;M79)+1,10))))</f>
        <v/>
      </c>
      <c r="P79" s="13">
        <f>K79/1000/(PI()*(O79/1000)^2/4)</f>
        <v/>
      </c>
      <c r="Q79" s="20" t="n">
        <v>3.3</v>
      </c>
      <c r="R79" s="13">
        <f>Q79*Datos!$B$17</f>
        <v/>
      </c>
      <c r="S79" s="21">
        <f>P79*O79/1000/IF(C79="AF",Datos!$B$46,Datos!$B$47)</f>
        <v/>
      </c>
      <c r="T79" s="22">
        <f>IF(S79&lt;=0,0,0.25/(LOG10(Datos!$B$48/(3.7*O79/1000)+5.74/S79^0.9))^2)</f>
        <v/>
      </c>
      <c r="U79" s="11">
        <f>IF(R79=0,0,T79*R79/(O79/1000)*P79^2/(2*Datos!$B$45))</f>
        <v/>
      </c>
      <c r="V79" s="19" t="n">
        <v>0</v>
      </c>
      <c r="W79" s="11">
        <f>V79*P79^2/(2*Datos!$B$45)</f>
        <v/>
      </c>
      <c r="X79" s="11">
        <f>U79+W79</f>
        <v/>
      </c>
    </row>
    <row r="80">
      <c r="A80" s="8" t="inlineStr">
        <is>
          <t>MCAL11</t>
        </is>
      </c>
      <c r="B80" s="4" t="inlineStr">
        <is>
          <t>Montante ACS alta O: tramo hasta planta 11</t>
        </is>
      </c>
      <c r="C80" s="4" t="inlineStr">
        <is>
          <t>ACS</t>
        </is>
      </c>
      <c r="D80" s="4" t="inlineStr">
        <is>
          <t>MC</t>
        </is>
      </c>
      <c r="E80" s="5" t="n">
        <v>12</v>
      </c>
      <c r="F80" s="5" t="n">
        <v>2</v>
      </c>
      <c r="G80" s="5" t="n">
        <v>0</v>
      </c>
      <c r="H80" s="9" t="n">
        <v>0</v>
      </c>
      <c r="I80" s="11">
        <f>IF(C80="AF",E80*Locales!$L$4+F80*Locales!$L$5+G80*Locales!$L$6,E80*Locales!$M$4+F80*Locales!$M$5+G80*Locales!$M$6)+H80</f>
        <v/>
      </c>
      <c r="J80" s="9" t="n">
        <v>0</v>
      </c>
      <c r="K80" s="11">
        <f>MAX(J80,IF(I80&lt;=0,0,MIN(I80,IF(I80&lt;=20,Datos!$B$25*I80^Datos!$C$25+Datos!$D$25,Datos!$B$26*I80^Datos!$C$26+Datos!$D$26))))</f>
        <v/>
      </c>
      <c r="L80" s="19" t="n">
        <v>1</v>
      </c>
      <c r="M80" s="16">
        <f>SQRT(4*K80/1000/(PI()*L80))*1000</f>
        <v/>
      </c>
      <c r="N80" s="4">
        <f>IF(D80="MC",INDEX(Tubos!$B$4:$B$12,MIN(COUNTIF(Tubos!$C$4:$C$12,"&lt;"&amp;M80)+1,9)),IF(D80="PE",INDEX(Tubos!$B$15:$B$21,MIN(COUNTIF(Tubos!$C$15:$C$21,"&lt;"&amp;M80)+1,7)),INDEX(Tubos!$B$24:$B$33,MIN(COUNTIF(Tubos!$C$24:$C$33,"&lt;"&amp;M80)+1,10))))</f>
        <v/>
      </c>
      <c r="O80" s="16">
        <f>IF(D80="MC",INDEX(Tubos!$C$4:$C$12,MIN(COUNTIF(Tubos!$C$4:$C$12,"&lt;"&amp;M80)+1,9)),IF(D80="PE",INDEX(Tubos!$C$15:$C$21,MIN(COUNTIF(Tubos!$C$15:$C$21,"&lt;"&amp;M80)+1,7)),INDEX(Tubos!$C$24:$C$33,MIN(COUNTIF(Tubos!$C$24:$C$33,"&lt;"&amp;M80)+1,10))))</f>
        <v/>
      </c>
      <c r="P80" s="13">
        <f>K80/1000/(PI()*(O80/1000)^2/4)</f>
        <v/>
      </c>
      <c r="Q80" s="20" t="n">
        <v>3.3</v>
      </c>
      <c r="R80" s="13">
        <f>Q80*Datos!$B$17</f>
        <v/>
      </c>
      <c r="S80" s="21">
        <f>P80*O80/1000/IF(C80="AF",Datos!$B$46,Datos!$B$47)</f>
        <v/>
      </c>
      <c r="T80" s="22">
        <f>IF(S80&lt;=0,0,0.25/(LOG10(Datos!$B$48/(3.7*O80/1000)+5.74/S80^0.9))^2)</f>
        <v/>
      </c>
      <c r="U80" s="11">
        <f>IF(R80=0,0,T80*R80/(O80/1000)*P80^2/(2*Datos!$B$45))</f>
        <v/>
      </c>
      <c r="V80" s="19" t="n">
        <v>0</v>
      </c>
      <c r="W80" s="11">
        <f>V80*P80^2/(2*Datos!$B$45)</f>
        <v/>
      </c>
      <c r="X80" s="11">
        <f>U80+W80</f>
        <v/>
      </c>
    </row>
    <row r="81">
      <c r="A81" s="8" t="inlineStr">
        <is>
          <t>MCAR11</t>
        </is>
      </c>
      <c r="B81" s="4" t="inlineStr">
        <is>
          <t>Montante ACS alta E: tramo hasta planta 11</t>
        </is>
      </c>
      <c r="C81" s="4" t="inlineStr">
        <is>
          <t>ACS</t>
        </is>
      </c>
      <c r="D81" s="4" t="inlineStr">
        <is>
          <t>MC</t>
        </is>
      </c>
      <c r="E81" s="5" t="n">
        <v>12</v>
      </c>
      <c r="F81" s="5" t="n">
        <v>0</v>
      </c>
      <c r="G81" s="5" t="n">
        <v>1</v>
      </c>
      <c r="H81" s="9" t="n">
        <v>0</v>
      </c>
      <c r="I81" s="11">
        <f>IF(C81="AF",E81*Locales!$L$4+F81*Locales!$L$5+G81*Locales!$L$6,E81*Locales!$M$4+F81*Locales!$M$5+G81*Locales!$M$6)+H81</f>
        <v/>
      </c>
      <c r="J81" s="9" t="n">
        <v>0</v>
      </c>
      <c r="K81" s="11">
        <f>MAX(J81,IF(I81&lt;=0,0,MIN(I81,IF(I81&lt;=20,Datos!$B$25*I81^Datos!$C$25+Datos!$D$25,Datos!$B$26*I81^Datos!$C$26+Datos!$D$26))))</f>
        <v/>
      </c>
      <c r="L81" s="19" t="n">
        <v>1</v>
      </c>
      <c r="M81" s="16">
        <f>SQRT(4*K81/1000/(PI()*L81))*1000</f>
        <v/>
      </c>
      <c r="N81" s="4">
        <f>IF(D81="MC",INDEX(Tubos!$B$4:$B$12,MIN(COUNTIF(Tubos!$C$4:$C$12,"&lt;"&amp;M81)+1,9)),IF(D81="PE",INDEX(Tubos!$B$15:$B$21,MIN(COUNTIF(Tubos!$C$15:$C$21,"&lt;"&amp;M81)+1,7)),INDEX(Tubos!$B$24:$B$33,MIN(COUNTIF(Tubos!$C$24:$C$33,"&lt;"&amp;M81)+1,10))))</f>
        <v/>
      </c>
      <c r="O81" s="16">
        <f>IF(D81="MC",INDEX(Tubos!$C$4:$C$12,MIN(COUNTIF(Tubos!$C$4:$C$12,"&lt;"&amp;M81)+1,9)),IF(D81="PE",INDEX(Tubos!$C$15:$C$21,MIN(COUNTIF(Tubos!$C$15:$C$21,"&lt;"&amp;M81)+1,7)),INDEX(Tubos!$C$24:$C$33,MIN(COUNTIF(Tubos!$C$24:$C$33,"&lt;"&amp;M81)+1,10))))</f>
        <v/>
      </c>
      <c r="P81" s="13">
        <f>K81/1000/(PI()*(O81/1000)^2/4)</f>
        <v/>
      </c>
      <c r="Q81" s="20" t="n">
        <v>3.3</v>
      </c>
      <c r="R81" s="13">
        <f>Q81*Datos!$B$17</f>
        <v/>
      </c>
      <c r="S81" s="21">
        <f>P81*O81/1000/IF(C81="AF",Datos!$B$46,Datos!$B$47)</f>
        <v/>
      </c>
      <c r="T81" s="22">
        <f>IF(S81&lt;=0,0,0.25/(LOG10(Datos!$B$48/(3.7*O81/1000)+5.74/S81^0.9))^2)</f>
        <v/>
      </c>
      <c r="U81" s="11">
        <f>IF(R81=0,0,T81*R81/(O81/1000)*P81^2/(2*Datos!$B$45))</f>
        <v/>
      </c>
      <c r="V81" s="19" t="n">
        <v>0</v>
      </c>
      <c r="W81" s="11">
        <f>V81*P81^2/(2*Datos!$B$45)</f>
        <v/>
      </c>
      <c r="X81" s="11">
        <f>U81+W81</f>
        <v/>
      </c>
    </row>
    <row r="82">
      <c r="A82" s="8" t="inlineStr">
        <is>
          <t>CB0</t>
        </is>
      </c>
      <c r="B82" s="4" t="inlineStr">
        <is>
          <t>ACS baja: colector tras válvula reductora (PB-P7)</t>
        </is>
      </c>
      <c r="C82" s="4" t="inlineStr">
        <is>
          <t>ACS</t>
        </is>
      </c>
      <c r="D82" s="4" t="inlineStr">
        <is>
          <t>MC</t>
        </is>
      </c>
      <c r="E82" s="5" t="n">
        <v>168</v>
      </c>
      <c r="F82" s="5" t="n">
        <v>14</v>
      </c>
      <c r="G82" s="5" t="n">
        <v>7</v>
      </c>
      <c r="H82" s="11">
        <f>Plantas!$R$5</f>
        <v/>
      </c>
      <c r="I82" s="11">
        <f>IF(C82="AF",E82*Locales!$L$4+F82*Locales!$L$5+G82*Locales!$L$6,E82*Locales!$M$4+F82*Locales!$M$5+G82*Locales!$M$6)+H82</f>
        <v/>
      </c>
      <c r="J82" s="9" t="n">
        <v>0</v>
      </c>
      <c r="K82" s="11">
        <f>MAX(J82,IF(I82&lt;=0,0,MIN(I82,IF(I82&lt;=20,Datos!$B$25*I82^Datos!$C$25+Datos!$D$25,Datos!$B$26*I82^Datos!$C$26+Datos!$D$26))))</f>
        <v/>
      </c>
      <c r="L82" s="19" t="n">
        <v>1</v>
      </c>
      <c r="M82" s="16">
        <f>SQRT(4*K82/1000/(PI()*L82))*1000</f>
        <v/>
      </c>
      <c r="N82" s="4">
        <f>IF(D82="MC",INDEX(Tubos!$B$4:$B$12,MIN(COUNTIF(Tubos!$C$4:$C$12,"&lt;"&amp;M82)+1,9)),IF(D82="PE",INDEX(Tubos!$B$15:$B$21,MIN(COUNTIF(Tubos!$C$15:$C$21,"&lt;"&amp;M82)+1,7)),INDEX(Tubos!$B$24:$B$33,MIN(COUNTIF(Tubos!$C$24:$C$33,"&lt;"&amp;M82)+1,10))))</f>
        <v/>
      </c>
      <c r="O82" s="16">
        <f>IF(D82="MC",INDEX(Tubos!$C$4:$C$12,MIN(COUNTIF(Tubos!$C$4:$C$12,"&lt;"&amp;M82)+1,9)),IF(D82="PE",INDEX(Tubos!$C$15:$C$21,MIN(COUNTIF(Tubos!$C$15:$C$21,"&lt;"&amp;M82)+1,7)),INDEX(Tubos!$C$24:$C$33,MIN(COUNTIF(Tubos!$C$24:$C$33,"&lt;"&amp;M82)+1,10))))</f>
        <v/>
      </c>
      <c r="P82" s="13">
        <f>K82/1000/(PI()*(O82/1000)^2/4)</f>
        <v/>
      </c>
      <c r="Q82" s="20" t="n">
        <v>2</v>
      </c>
      <c r="R82" s="13">
        <f>Q82*Datos!$B$17</f>
        <v/>
      </c>
      <c r="S82" s="21">
        <f>P82*O82/1000/IF(C82="AF",Datos!$B$46,Datos!$B$47)</f>
        <v/>
      </c>
      <c r="T82" s="22">
        <f>IF(S82&lt;=0,0,0.25/(LOG10(Datos!$B$48/(3.7*O82/1000)+5.74/S82^0.9))^2)</f>
        <v/>
      </c>
      <c r="U82" s="11">
        <f>IF(R82=0,0,T82*R82/(O82/1000)*P82^2/(2*Datos!$B$45))</f>
        <v/>
      </c>
      <c r="V82" s="19" t="n">
        <v>0.3</v>
      </c>
      <c r="W82" s="11">
        <f>V82*P82^2/(2*Datos!$B$45)</f>
        <v/>
      </c>
      <c r="X82" s="11">
        <f>U82+W82</f>
        <v/>
      </c>
    </row>
    <row r="83">
      <c r="A83" s="8" t="inlineStr">
        <is>
          <t>CBL1</t>
        </is>
      </c>
      <c r="B83" s="4" t="inlineStr">
        <is>
          <t>ACS baja: cuarto ACS → base patinillo O</t>
        </is>
      </c>
      <c r="C83" s="4" t="inlineStr">
        <is>
          <t>ACS</t>
        </is>
      </c>
      <c r="D83" s="4" t="inlineStr">
        <is>
          <t>MC</t>
        </is>
      </c>
      <c r="E83" s="5" t="n">
        <v>84</v>
      </c>
      <c r="F83" s="5" t="n">
        <v>14</v>
      </c>
      <c r="G83" s="5" t="n">
        <v>0</v>
      </c>
      <c r="H83" s="9" t="n">
        <v>0</v>
      </c>
      <c r="I83" s="11">
        <f>IF(C83="AF",E83*Locales!$L$4+F83*Locales!$L$5+G83*Locales!$L$6,E83*Locales!$M$4+F83*Locales!$M$5+G83*Locales!$M$6)+H83</f>
        <v/>
      </c>
      <c r="J83" s="9" t="n">
        <v>0</v>
      </c>
      <c r="K83" s="11">
        <f>MAX(J83,IF(I83&lt;=0,0,MIN(I83,IF(I83&lt;=20,Datos!$B$25*I83^Datos!$C$25+Datos!$D$25,Datos!$B$26*I83^Datos!$C$26+Datos!$D$26))))</f>
        <v/>
      </c>
      <c r="L83" s="19" t="n">
        <v>1</v>
      </c>
      <c r="M83" s="16">
        <f>SQRT(4*K83/1000/(PI()*L83))*1000</f>
        <v/>
      </c>
      <c r="N83" s="4">
        <f>IF(D83="MC",INDEX(Tubos!$B$4:$B$12,MIN(COUNTIF(Tubos!$C$4:$C$12,"&lt;"&amp;M83)+1,9)),IF(D83="PE",INDEX(Tubos!$B$15:$B$21,MIN(COUNTIF(Tubos!$C$15:$C$21,"&lt;"&amp;M83)+1,7)),INDEX(Tubos!$B$24:$B$33,MIN(COUNTIF(Tubos!$C$24:$C$33,"&lt;"&amp;M83)+1,10))))</f>
        <v/>
      </c>
      <c r="O83" s="16">
        <f>IF(D83="MC",INDEX(Tubos!$C$4:$C$12,MIN(COUNTIF(Tubos!$C$4:$C$12,"&lt;"&amp;M83)+1,9)),IF(D83="PE",INDEX(Tubos!$C$15:$C$21,MIN(COUNTIF(Tubos!$C$15:$C$21,"&lt;"&amp;M83)+1,7)),INDEX(Tubos!$C$24:$C$33,MIN(COUNTIF(Tubos!$C$24:$C$33,"&lt;"&amp;M83)+1,10))))</f>
        <v/>
      </c>
      <c r="P83" s="13">
        <f>K83/1000/(PI()*(O83/1000)^2/4)</f>
        <v/>
      </c>
      <c r="Q83" s="20" t="n">
        <v>20.7</v>
      </c>
      <c r="R83" s="13">
        <f>Q83*Datos!$B$17</f>
        <v/>
      </c>
      <c r="S83" s="21">
        <f>P83*O83/1000/IF(C83="AF",Datos!$B$46,Datos!$B$47)</f>
        <v/>
      </c>
      <c r="T83" s="22">
        <f>IF(S83&lt;=0,0,0.25/(LOG10(Datos!$B$48/(3.7*O83/1000)+5.74/S83^0.9))^2)</f>
        <v/>
      </c>
      <c r="U83" s="11">
        <f>IF(R83=0,0,T83*R83/(O83/1000)*P83^2/(2*Datos!$B$45))</f>
        <v/>
      </c>
      <c r="V83" s="19" t="n">
        <v>0.3</v>
      </c>
      <c r="W83" s="11">
        <f>V83*P83^2/(2*Datos!$B$45)</f>
        <v/>
      </c>
      <c r="X83" s="11">
        <f>U83+W83</f>
        <v/>
      </c>
    </row>
    <row r="84">
      <c r="A84" s="8" t="inlineStr">
        <is>
          <t>CBR1</t>
        </is>
      </c>
      <c r="B84" s="4" t="inlineStr">
        <is>
          <t>ACS baja: cuarto ACS → base patinillo E</t>
        </is>
      </c>
      <c r="C84" s="4" t="inlineStr">
        <is>
          <t>ACS</t>
        </is>
      </c>
      <c r="D84" s="4" t="inlineStr">
        <is>
          <t>MC</t>
        </is>
      </c>
      <c r="E84" s="5" t="n">
        <v>84</v>
      </c>
      <c r="F84" s="5" t="n">
        <v>0</v>
      </c>
      <c r="G84" s="5" t="n">
        <v>7</v>
      </c>
      <c r="H84" s="9" t="n">
        <v>0</v>
      </c>
      <c r="I84" s="11">
        <f>IF(C84="AF",E84*Locales!$L$4+F84*Locales!$L$5+G84*Locales!$L$6,E84*Locales!$M$4+F84*Locales!$M$5+G84*Locales!$M$6)+H84</f>
        <v/>
      </c>
      <c r="J84" s="9" t="n">
        <v>0</v>
      </c>
      <c r="K84" s="11">
        <f>MAX(J84,IF(I84&lt;=0,0,MIN(I84,IF(I84&lt;=20,Datos!$B$25*I84^Datos!$C$25+Datos!$D$25,Datos!$B$26*I84^Datos!$C$26+Datos!$D$26))))</f>
        <v/>
      </c>
      <c r="L84" s="19" t="n">
        <v>1</v>
      </c>
      <c r="M84" s="16">
        <f>SQRT(4*K84/1000/(PI()*L84))*1000</f>
        <v/>
      </c>
      <c r="N84" s="4">
        <f>IF(D84="MC",INDEX(Tubos!$B$4:$B$12,MIN(COUNTIF(Tubos!$C$4:$C$12,"&lt;"&amp;M84)+1,9)),IF(D84="PE",INDEX(Tubos!$B$15:$B$21,MIN(COUNTIF(Tubos!$C$15:$C$21,"&lt;"&amp;M84)+1,7)),INDEX(Tubos!$B$24:$B$33,MIN(COUNTIF(Tubos!$C$24:$C$33,"&lt;"&amp;M84)+1,10))))</f>
        <v/>
      </c>
      <c r="O84" s="16">
        <f>IF(D84="MC",INDEX(Tubos!$C$4:$C$12,MIN(COUNTIF(Tubos!$C$4:$C$12,"&lt;"&amp;M84)+1,9)),IF(D84="PE",INDEX(Tubos!$C$15:$C$21,MIN(COUNTIF(Tubos!$C$15:$C$21,"&lt;"&amp;M84)+1,7)),INDEX(Tubos!$C$24:$C$33,MIN(COUNTIF(Tubos!$C$24:$C$33,"&lt;"&amp;M84)+1,10))))</f>
        <v/>
      </c>
      <c r="P84" s="13">
        <f>K84/1000/(PI()*(O84/1000)^2/4)</f>
        <v/>
      </c>
      <c r="Q84" s="20" t="n">
        <v>39</v>
      </c>
      <c r="R84" s="13">
        <f>Q84*Datos!$B$17</f>
        <v/>
      </c>
      <c r="S84" s="21">
        <f>P84*O84/1000/IF(C84="AF",Datos!$B$46,Datos!$B$47)</f>
        <v/>
      </c>
      <c r="T84" s="22">
        <f>IF(S84&lt;=0,0,0.25/(LOG10(Datos!$B$48/(3.7*O84/1000)+5.74/S84^0.9))^2)</f>
        <v/>
      </c>
      <c r="U84" s="11">
        <f>IF(R84=0,0,T84*R84/(O84/1000)*P84^2/(2*Datos!$B$45))</f>
        <v/>
      </c>
      <c r="V84" s="19" t="n">
        <v>0.3</v>
      </c>
      <c r="W84" s="11">
        <f>V84*P84^2/(2*Datos!$B$45)</f>
        <v/>
      </c>
      <c r="X84" s="11">
        <f>U84+W84</f>
        <v/>
      </c>
    </row>
    <row r="85">
      <c r="A85" s="8" t="inlineStr">
        <is>
          <t>MCBL1</t>
        </is>
      </c>
      <c r="B85" s="4" t="inlineStr">
        <is>
          <t>Montante ACS baja O: tramo hasta planta 1</t>
        </is>
      </c>
      <c r="C85" s="4" t="inlineStr">
        <is>
          <t>ACS</t>
        </is>
      </c>
      <c r="D85" s="4" t="inlineStr">
        <is>
          <t>MC</t>
        </is>
      </c>
      <c r="E85" s="5" t="n">
        <v>84</v>
      </c>
      <c r="F85" s="5" t="n">
        <v>14</v>
      </c>
      <c r="G85" s="5" t="n">
        <v>0</v>
      </c>
      <c r="H85" s="9" t="n">
        <v>0</v>
      </c>
      <c r="I85" s="11">
        <f>IF(C85="AF",E85*Locales!$L$4+F85*Locales!$L$5+G85*Locales!$L$6,E85*Locales!$M$4+F85*Locales!$M$5+G85*Locales!$M$6)+H85</f>
        <v/>
      </c>
      <c r="J85" s="9" t="n">
        <v>0</v>
      </c>
      <c r="K85" s="11">
        <f>MAX(J85,IF(I85&lt;=0,0,MIN(I85,IF(I85&lt;=20,Datos!$B$25*I85^Datos!$C$25+Datos!$D$25,Datos!$B$26*I85^Datos!$C$26+Datos!$D$26))))</f>
        <v/>
      </c>
      <c r="L85" s="19" t="n">
        <v>1</v>
      </c>
      <c r="M85" s="16">
        <f>SQRT(4*K85/1000/(PI()*L85))*1000</f>
        <v/>
      </c>
      <c r="N85" s="4">
        <f>IF(D85="MC",INDEX(Tubos!$B$4:$B$12,MIN(COUNTIF(Tubos!$C$4:$C$12,"&lt;"&amp;M85)+1,9)),IF(D85="PE",INDEX(Tubos!$B$15:$B$21,MIN(COUNTIF(Tubos!$C$15:$C$21,"&lt;"&amp;M85)+1,7)),INDEX(Tubos!$B$24:$B$33,MIN(COUNTIF(Tubos!$C$24:$C$33,"&lt;"&amp;M85)+1,10))))</f>
        <v/>
      </c>
      <c r="O85" s="16">
        <f>IF(D85="MC",INDEX(Tubos!$C$4:$C$12,MIN(COUNTIF(Tubos!$C$4:$C$12,"&lt;"&amp;M85)+1,9)),IF(D85="PE",INDEX(Tubos!$C$15:$C$21,MIN(COUNTIF(Tubos!$C$15:$C$21,"&lt;"&amp;M85)+1,7)),INDEX(Tubos!$C$24:$C$33,MIN(COUNTIF(Tubos!$C$24:$C$33,"&lt;"&amp;M85)+1,10))))</f>
        <v/>
      </c>
      <c r="P85" s="13">
        <f>K85/1000/(PI()*(O85/1000)^2/4)</f>
        <v/>
      </c>
      <c r="Q85" s="20" t="n">
        <v>7.3</v>
      </c>
      <c r="R85" s="13">
        <f>Q85*Datos!$B$17</f>
        <v/>
      </c>
      <c r="S85" s="21">
        <f>P85*O85/1000/IF(C85="AF",Datos!$B$46,Datos!$B$47)</f>
        <v/>
      </c>
      <c r="T85" s="22">
        <f>IF(S85&lt;=0,0,0.25/(LOG10(Datos!$B$48/(3.7*O85/1000)+5.74/S85^0.9))^2)</f>
        <v/>
      </c>
      <c r="U85" s="11">
        <f>IF(R85=0,0,T85*R85/(O85/1000)*P85^2/(2*Datos!$B$45))</f>
        <v/>
      </c>
      <c r="V85" s="19" t="n">
        <v>0</v>
      </c>
      <c r="W85" s="11">
        <f>V85*P85^2/(2*Datos!$B$45)</f>
        <v/>
      </c>
      <c r="X85" s="11">
        <f>U85+W85</f>
        <v/>
      </c>
    </row>
    <row r="86">
      <c r="A86" s="8" t="inlineStr">
        <is>
          <t>MCBR1</t>
        </is>
      </c>
      <c r="B86" s="4" t="inlineStr">
        <is>
          <t>Montante ACS baja E: tramo hasta planta 1</t>
        </is>
      </c>
      <c r="C86" s="4" t="inlineStr">
        <is>
          <t>ACS</t>
        </is>
      </c>
      <c r="D86" s="4" t="inlineStr">
        <is>
          <t>MC</t>
        </is>
      </c>
      <c r="E86" s="5" t="n">
        <v>84</v>
      </c>
      <c r="F86" s="5" t="n">
        <v>0</v>
      </c>
      <c r="G86" s="5" t="n">
        <v>7</v>
      </c>
      <c r="H86" s="9" t="n">
        <v>0</v>
      </c>
      <c r="I86" s="11">
        <f>IF(C86="AF",E86*Locales!$L$4+F86*Locales!$L$5+G86*Locales!$L$6,E86*Locales!$M$4+F86*Locales!$M$5+G86*Locales!$M$6)+H86</f>
        <v/>
      </c>
      <c r="J86" s="9" t="n">
        <v>0</v>
      </c>
      <c r="K86" s="11">
        <f>MAX(J86,IF(I86&lt;=0,0,MIN(I86,IF(I86&lt;=20,Datos!$B$25*I86^Datos!$C$25+Datos!$D$25,Datos!$B$26*I86^Datos!$C$26+Datos!$D$26))))</f>
        <v/>
      </c>
      <c r="L86" s="19" t="n">
        <v>1</v>
      </c>
      <c r="M86" s="16">
        <f>SQRT(4*K86/1000/(PI()*L86))*1000</f>
        <v/>
      </c>
      <c r="N86" s="4">
        <f>IF(D86="MC",INDEX(Tubos!$B$4:$B$12,MIN(COUNTIF(Tubos!$C$4:$C$12,"&lt;"&amp;M86)+1,9)),IF(D86="PE",INDEX(Tubos!$B$15:$B$21,MIN(COUNTIF(Tubos!$C$15:$C$21,"&lt;"&amp;M86)+1,7)),INDEX(Tubos!$B$24:$B$33,MIN(COUNTIF(Tubos!$C$24:$C$33,"&lt;"&amp;M86)+1,10))))</f>
        <v/>
      </c>
      <c r="O86" s="16">
        <f>IF(D86="MC",INDEX(Tubos!$C$4:$C$12,MIN(COUNTIF(Tubos!$C$4:$C$12,"&lt;"&amp;M86)+1,9)),IF(D86="PE",INDEX(Tubos!$C$15:$C$21,MIN(COUNTIF(Tubos!$C$15:$C$21,"&lt;"&amp;M86)+1,7)),INDEX(Tubos!$C$24:$C$33,MIN(COUNTIF(Tubos!$C$24:$C$33,"&lt;"&amp;M86)+1,10))))</f>
        <v/>
      </c>
      <c r="P86" s="13">
        <f>K86/1000/(PI()*(O86/1000)^2/4)</f>
        <v/>
      </c>
      <c r="Q86" s="20" t="n">
        <v>7.3</v>
      </c>
      <c r="R86" s="13">
        <f>Q86*Datos!$B$17</f>
        <v/>
      </c>
      <c r="S86" s="21">
        <f>P86*O86/1000/IF(C86="AF",Datos!$B$46,Datos!$B$47)</f>
        <v/>
      </c>
      <c r="T86" s="22">
        <f>IF(S86&lt;=0,0,0.25/(LOG10(Datos!$B$48/(3.7*O86/1000)+5.74/S86^0.9))^2)</f>
        <v/>
      </c>
      <c r="U86" s="11">
        <f>IF(R86=0,0,T86*R86/(O86/1000)*P86^2/(2*Datos!$B$45))</f>
        <v/>
      </c>
      <c r="V86" s="19" t="n">
        <v>0</v>
      </c>
      <c r="W86" s="11">
        <f>V86*P86^2/(2*Datos!$B$45)</f>
        <v/>
      </c>
      <c r="X86" s="11">
        <f>U86+W86</f>
        <v/>
      </c>
    </row>
    <row r="87">
      <c r="A87" s="8" t="inlineStr">
        <is>
          <t>MCBL2</t>
        </is>
      </c>
      <c r="B87" s="4" t="inlineStr">
        <is>
          <t>Montante ACS baja O: tramo hasta planta 2</t>
        </is>
      </c>
      <c r="C87" s="4" t="inlineStr">
        <is>
          <t>ACS</t>
        </is>
      </c>
      <c r="D87" s="4" t="inlineStr">
        <is>
          <t>MC</t>
        </is>
      </c>
      <c r="E87" s="5" t="n">
        <v>72</v>
      </c>
      <c r="F87" s="5" t="n">
        <v>12</v>
      </c>
      <c r="G87" s="5" t="n">
        <v>0</v>
      </c>
      <c r="H87" s="9" t="n">
        <v>0</v>
      </c>
      <c r="I87" s="11">
        <f>IF(C87="AF",E87*Locales!$L$4+F87*Locales!$L$5+G87*Locales!$L$6,E87*Locales!$M$4+F87*Locales!$M$5+G87*Locales!$M$6)+H87</f>
        <v/>
      </c>
      <c r="J87" s="9" t="n">
        <v>0</v>
      </c>
      <c r="K87" s="11">
        <f>MAX(J87,IF(I87&lt;=0,0,MIN(I87,IF(I87&lt;=20,Datos!$B$25*I87^Datos!$C$25+Datos!$D$25,Datos!$B$26*I87^Datos!$C$26+Datos!$D$26))))</f>
        <v/>
      </c>
      <c r="L87" s="19" t="n">
        <v>1</v>
      </c>
      <c r="M87" s="16">
        <f>SQRT(4*K87/1000/(PI()*L87))*1000</f>
        <v/>
      </c>
      <c r="N87" s="4">
        <f>IF(D87="MC",INDEX(Tubos!$B$4:$B$12,MIN(COUNTIF(Tubos!$C$4:$C$12,"&lt;"&amp;M87)+1,9)),IF(D87="PE",INDEX(Tubos!$B$15:$B$21,MIN(COUNTIF(Tubos!$C$15:$C$21,"&lt;"&amp;M87)+1,7)),INDEX(Tubos!$B$24:$B$33,MIN(COUNTIF(Tubos!$C$24:$C$33,"&lt;"&amp;M87)+1,10))))</f>
        <v/>
      </c>
      <c r="O87" s="16">
        <f>IF(D87="MC",INDEX(Tubos!$C$4:$C$12,MIN(COUNTIF(Tubos!$C$4:$C$12,"&lt;"&amp;M87)+1,9)),IF(D87="PE",INDEX(Tubos!$C$15:$C$21,MIN(COUNTIF(Tubos!$C$15:$C$21,"&lt;"&amp;M87)+1,7)),INDEX(Tubos!$C$24:$C$33,MIN(COUNTIF(Tubos!$C$24:$C$33,"&lt;"&amp;M87)+1,10))))</f>
        <v/>
      </c>
      <c r="P87" s="13">
        <f>K87/1000/(PI()*(O87/1000)^2/4)</f>
        <v/>
      </c>
      <c r="Q87" s="20" t="n">
        <v>3.3</v>
      </c>
      <c r="R87" s="13">
        <f>Q87*Datos!$B$17</f>
        <v/>
      </c>
      <c r="S87" s="21">
        <f>P87*O87/1000/IF(C87="AF",Datos!$B$46,Datos!$B$47)</f>
        <v/>
      </c>
      <c r="T87" s="22">
        <f>IF(S87&lt;=0,0,0.25/(LOG10(Datos!$B$48/(3.7*O87/1000)+5.74/S87^0.9))^2)</f>
        <v/>
      </c>
      <c r="U87" s="11">
        <f>IF(R87=0,0,T87*R87/(O87/1000)*P87^2/(2*Datos!$B$45))</f>
        <v/>
      </c>
      <c r="V87" s="19" t="n">
        <v>0</v>
      </c>
      <c r="W87" s="11">
        <f>V87*P87^2/(2*Datos!$B$45)</f>
        <v/>
      </c>
      <c r="X87" s="11">
        <f>U87+W87</f>
        <v/>
      </c>
    </row>
    <row r="88">
      <c r="A88" s="8" t="inlineStr">
        <is>
          <t>MCBR2</t>
        </is>
      </c>
      <c r="B88" s="4" t="inlineStr">
        <is>
          <t>Montante ACS baja E: tramo hasta planta 2</t>
        </is>
      </c>
      <c r="C88" s="4" t="inlineStr">
        <is>
          <t>ACS</t>
        </is>
      </c>
      <c r="D88" s="4" t="inlineStr">
        <is>
          <t>MC</t>
        </is>
      </c>
      <c r="E88" s="5" t="n">
        <v>72</v>
      </c>
      <c r="F88" s="5" t="n">
        <v>0</v>
      </c>
      <c r="G88" s="5" t="n">
        <v>6</v>
      </c>
      <c r="H88" s="9" t="n">
        <v>0</v>
      </c>
      <c r="I88" s="11">
        <f>IF(C88="AF",E88*Locales!$L$4+F88*Locales!$L$5+G88*Locales!$L$6,E88*Locales!$M$4+F88*Locales!$M$5+G88*Locales!$M$6)+H88</f>
        <v/>
      </c>
      <c r="J88" s="9" t="n">
        <v>0</v>
      </c>
      <c r="K88" s="11">
        <f>MAX(J88,IF(I88&lt;=0,0,MIN(I88,IF(I88&lt;=20,Datos!$B$25*I88^Datos!$C$25+Datos!$D$25,Datos!$B$26*I88^Datos!$C$26+Datos!$D$26))))</f>
        <v/>
      </c>
      <c r="L88" s="19" t="n">
        <v>1</v>
      </c>
      <c r="M88" s="16">
        <f>SQRT(4*K88/1000/(PI()*L88))*1000</f>
        <v/>
      </c>
      <c r="N88" s="4">
        <f>IF(D88="MC",INDEX(Tubos!$B$4:$B$12,MIN(COUNTIF(Tubos!$C$4:$C$12,"&lt;"&amp;M88)+1,9)),IF(D88="PE",INDEX(Tubos!$B$15:$B$21,MIN(COUNTIF(Tubos!$C$15:$C$21,"&lt;"&amp;M88)+1,7)),INDEX(Tubos!$B$24:$B$33,MIN(COUNTIF(Tubos!$C$24:$C$33,"&lt;"&amp;M88)+1,10))))</f>
        <v/>
      </c>
      <c r="O88" s="16">
        <f>IF(D88="MC",INDEX(Tubos!$C$4:$C$12,MIN(COUNTIF(Tubos!$C$4:$C$12,"&lt;"&amp;M88)+1,9)),IF(D88="PE",INDEX(Tubos!$C$15:$C$21,MIN(COUNTIF(Tubos!$C$15:$C$21,"&lt;"&amp;M88)+1,7)),INDEX(Tubos!$C$24:$C$33,MIN(COUNTIF(Tubos!$C$24:$C$33,"&lt;"&amp;M88)+1,10))))</f>
        <v/>
      </c>
      <c r="P88" s="13">
        <f>K88/1000/(PI()*(O88/1000)^2/4)</f>
        <v/>
      </c>
      <c r="Q88" s="20" t="n">
        <v>3.3</v>
      </c>
      <c r="R88" s="13">
        <f>Q88*Datos!$B$17</f>
        <v/>
      </c>
      <c r="S88" s="21">
        <f>P88*O88/1000/IF(C88="AF",Datos!$B$46,Datos!$B$47)</f>
        <v/>
      </c>
      <c r="T88" s="22">
        <f>IF(S88&lt;=0,0,0.25/(LOG10(Datos!$B$48/(3.7*O88/1000)+5.74/S88^0.9))^2)</f>
        <v/>
      </c>
      <c r="U88" s="11">
        <f>IF(R88=0,0,T88*R88/(O88/1000)*P88^2/(2*Datos!$B$45))</f>
        <v/>
      </c>
      <c r="V88" s="19" t="n">
        <v>0</v>
      </c>
      <c r="W88" s="11">
        <f>V88*P88^2/(2*Datos!$B$45)</f>
        <v/>
      </c>
      <c r="X88" s="11">
        <f>U88+W88</f>
        <v/>
      </c>
    </row>
    <row r="89">
      <c r="A89" s="8" t="inlineStr">
        <is>
          <t>MCBL3</t>
        </is>
      </c>
      <c r="B89" s="4" t="inlineStr">
        <is>
          <t>Montante ACS baja O: tramo hasta planta 3</t>
        </is>
      </c>
      <c r="C89" s="4" t="inlineStr">
        <is>
          <t>ACS</t>
        </is>
      </c>
      <c r="D89" s="4" t="inlineStr">
        <is>
          <t>MC</t>
        </is>
      </c>
      <c r="E89" s="5" t="n">
        <v>60</v>
      </c>
      <c r="F89" s="5" t="n">
        <v>10</v>
      </c>
      <c r="G89" s="5" t="n">
        <v>0</v>
      </c>
      <c r="H89" s="9" t="n">
        <v>0</v>
      </c>
      <c r="I89" s="11">
        <f>IF(C89="AF",E89*Locales!$L$4+F89*Locales!$L$5+G89*Locales!$L$6,E89*Locales!$M$4+F89*Locales!$M$5+G89*Locales!$M$6)+H89</f>
        <v/>
      </c>
      <c r="J89" s="9" t="n">
        <v>0</v>
      </c>
      <c r="K89" s="11">
        <f>MAX(J89,IF(I89&lt;=0,0,MIN(I89,IF(I89&lt;=20,Datos!$B$25*I89^Datos!$C$25+Datos!$D$25,Datos!$B$26*I89^Datos!$C$26+Datos!$D$26))))</f>
        <v/>
      </c>
      <c r="L89" s="19" t="n">
        <v>1</v>
      </c>
      <c r="M89" s="16">
        <f>SQRT(4*K89/1000/(PI()*L89))*1000</f>
        <v/>
      </c>
      <c r="N89" s="4">
        <f>IF(D89="MC",INDEX(Tubos!$B$4:$B$12,MIN(COUNTIF(Tubos!$C$4:$C$12,"&lt;"&amp;M89)+1,9)),IF(D89="PE",INDEX(Tubos!$B$15:$B$21,MIN(COUNTIF(Tubos!$C$15:$C$21,"&lt;"&amp;M89)+1,7)),INDEX(Tubos!$B$24:$B$33,MIN(COUNTIF(Tubos!$C$24:$C$33,"&lt;"&amp;M89)+1,10))))</f>
        <v/>
      </c>
      <c r="O89" s="16">
        <f>IF(D89="MC",INDEX(Tubos!$C$4:$C$12,MIN(COUNTIF(Tubos!$C$4:$C$12,"&lt;"&amp;M89)+1,9)),IF(D89="PE",INDEX(Tubos!$C$15:$C$21,MIN(COUNTIF(Tubos!$C$15:$C$21,"&lt;"&amp;M89)+1,7)),INDEX(Tubos!$C$24:$C$33,MIN(COUNTIF(Tubos!$C$24:$C$33,"&lt;"&amp;M89)+1,10))))</f>
        <v/>
      </c>
      <c r="P89" s="13">
        <f>K89/1000/(PI()*(O89/1000)^2/4)</f>
        <v/>
      </c>
      <c r="Q89" s="20" t="n">
        <v>3.3</v>
      </c>
      <c r="R89" s="13">
        <f>Q89*Datos!$B$17</f>
        <v/>
      </c>
      <c r="S89" s="21">
        <f>P89*O89/1000/IF(C89="AF",Datos!$B$46,Datos!$B$47)</f>
        <v/>
      </c>
      <c r="T89" s="22">
        <f>IF(S89&lt;=0,0,0.25/(LOG10(Datos!$B$48/(3.7*O89/1000)+5.74/S89^0.9))^2)</f>
        <v/>
      </c>
      <c r="U89" s="11">
        <f>IF(R89=0,0,T89*R89/(O89/1000)*P89^2/(2*Datos!$B$45))</f>
        <v/>
      </c>
      <c r="V89" s="19" t="n">
        <v>0</v>
      </c>
      <c r="W89" s="11">
        <f>V89*P89^2/(2*Datos!$B$45)</f>
        <v/>
      </c>
      <c r="X89" s="11">
        <f>U89+W89</f>
        <v/>
      </c>
    </row>
    <row r="90">
      <c r="A90" s="8" t="inlineStr">
        <is>
          <t>MCBR3</t>
        </is>
      </c>
      <c r="B90" s="4" t="inlineStr">
        <is>
          <t>Montante ACS baja E: tramo hasta planta 3</t>
        </is>
      </c>
      <c r="C90" s="4" t="inlineStr">
        <is>
          <t>ACS</t>
        </is>
      </c>
      <c r="D90" s="4" t="inlineStr">
        <is>
          <t>MC</t>
        </is>
      </c>
      <c r="E90" s="5" t="n">
        <v>60</v>
      </c>
      <c r="F90" s="5" t="n">
        <v>0</v>
      </c>
      <c r="G90" s="5" t="n">
        <v>5</v>
      </c>
      <c r="H90" s="9" t="n">
        <v>0</v>
      </c>
      <c r="I90" s="11">
        <f>IF(C90="AF",E90*Locales!$L$4+F90*Locales!$L$5+G90*Locales!$L$6,E90*Locales!$M$4+F90*Locales!$M$5+G90*Locales!$M$6)+H90</f>
        <v/>
      </c>
      <c r="J90" s="9" t="n">
        <v>0</v>
      </c>
      <c r="K90" s="11">
        <f>MAX(J90,IF(I90&lt;=0,0,MIN(I90,IF(I90&lt;=20,Datos!$B$25*I90^Datos!$C$25+Datos!$D$25,Datos!$B$26*I90^Datos!$C$26+Datos!$D$26))))</f>
        <v/>
      </c>
      <c r="L90" s="19" t="n">
        <v>1</v>
      </c>
      <c r="M90" s="16">
        <f>SQRT(4*K90/1000/(PI()*L90))*1000</f>
        <v/>
      </c>
      <c r="N90" s="4">
        <f>IF(D90="MC",INDEX(Tubos!$B$4:$B$12,MIN(COUNTIF(Tubos!$C$4:$C$12,"&lt;"&amp;M90)+1,9)),IF(D90="PE",INDEX(Tubos!$B$15:$B$21,MIN(COUNTIF(Tubos!$C$15:$C$21,"&lt;"&amp;M90)+1,7)),INDEX(Tubos!$B$24:$B$33,MIN(COUNTIF(Tubos!$C$24:$C$33,"&lt;"&amp;M90)+1,10))))</f>
        <v/>
      </c>
      <c r="O90" s="16">
        <f>IF(D90="MC",INDEX(Tubos!$C$4:$C$12,MIN(COUNTIF(Tubos!$C$4:$C$12,"&lt;"&amp;M90)+1,9)),IF(D90="PE",INDEX(Tubos!$C$15:$C$21,MIN(COUNTIF(Tubos!$C$15:$C$21,"&lt;"&amp;M90)+1,7)),INDEX(Tubos!$C$24:$C$33,MIN(COUNTIF(Tubos!$C$24:$C$33,"&lt;"&amp;M90)+1,10))))</f>
        <v/>
      </c>
      <c r="P90" s="13">
        <f>K90/1000/(PI()*(O90/1000)^2/4)</f>
        <v/>
      </c>
      <c r="Q90" s="20" t="n">
        <v>3.3</v>
      </c>
      <c r="R90" s="13">
        <f>Q90*Datos!$B$17</f>
        <v/>
      </c>
      <c r="S90" s="21">
        <f>P90*O90/1000/IF(C90="AF",Datos!$B$46,Datos!$B$47)</f>
        <v/>
      </c>
      <c r="T90" s="22">
        <f>IF(S90&lt;=0,0,0.25/(LOG10(Datos!$B$48/(3.7*O90/1000)+5.74/S90^0.9))^2)</f>
        <v/>
      </c>
      <c r="U90" s="11">
        <f>IF(R90=0,0,T90*R90/(O90/1000)*P90^2/(2*Datos!$B$45))</f>
        <v/>
      </c>
      <c r="V90" s="19" t="n">
        <v>0</v>
      </c>
      <c r="W90" s="11">
        <f>V90*P90^2/(2*Datos!$B$45)</f>
        <v/>
      </c>
      <c r="X90" s="11">
        <f>U90+W90</f>
        <v/>
      </c>
    </row>
    <row r="91">
      <c r="A91" s="8" t="inlineStr">
        <is>
          <t>MCBL4</t>
        </is>
      </c>
      <c r="B91" s="4" t="inlineStr">
        <is>
          <t>Montante ACS baja O: tramo hasta planta 4</t>
        </is>
      </c>
      <c r="C91" s="4" t="inlineStr">
        <is>
          <t>ACS</t>
        </is>
      </c>
      <c r="D91" s="4" t="inlineStr">
        <is>
          <t>MC</t>
        </is>
      </c>
      <c r="E91" s="5" t="n">
        <v>48</v>
      </c>
      <c r="F91" s="5" t="n">
        <v>8</v>
      </c>
      <c r="G91" s="5" t="n">
        <v>0</v>
      </c>
      <c r="H91" s="9" t="n">
        <v>0</v>
      </c>
      <c r="I91" s="11">
        <f>IF(C91="AF",E91*Locales!$L$4+F91*Locales!$L$5+G91*Locales!$L$6,E91*Locales!$M$4+F91*Locales!$M$5+G91*Locales!$M$6)+H91</f>
        <v/>
      </c>
      <c r="J91" s="9" t="n">
        <v>0</v>
      </c>
      <c r="K91" s="11">
        <f>MAX(J91,IF(I91&lt;=0,0,MIN(I91,IF(I91&lt;=20,Datos!$B$25*I91^Datos!$C$25+Datos!$D$25,Datos!$B$26*I91^Datos!$C$26+Datos!$D$26))))</f>
        <v/>
      </c>
      <c r="L91" s="19" t="n">
        <v>1</v>
      </c>
      <c r="M91" s="16">
        <f>SQRT(4*K91/1000/(PI()*L91))*1000</f>
        <v/>
      </c>
      <c r="N91" s="4">
        <f>IF(D91="MC",INDEX(Tubos!$B$4:$B$12,MIN(COUNTIF(Tubos!$C$4:$C$12,"&lt;"&amp;M91)+1,9)),IF(D91="PE",INDEX(Tubos!$B$15:$B$21,MIN(COUNTIF(Tubos!$C$15:$C$21,"&lt;"&amp;M91)+1,7)),INDEX(Tubos!$B$24:$B$33,MIN(COUNTIF(Tubos!$C$24:$C$33,"&lt;"&amp;M91)+1,10))))</f>
        <v/>
      </c>
      <c r="O91" s="16">
        <f>IF(D91="MC",INDEX(Tubos!$C$4:$C$12,MIN(COUNTIF(Tubos!$C$4:$C$12,"&lt;"&amp;M91)+1,9)),IF(D91="PE",INDEX(Tubos!$C$15:$C$21,MIN(COUNTIF(Tubos!$C$15:$C$21,"&lt;"&amp;M91)+1,7)),INDEX(Tubos!$C$24:$C$33,MIN(COUNTIF(Tubos!$C$24:$C$33,"&lt;"&amp;M91)+1,10))))</f>
        <v/>
      </c>
      <c r="P91" s="13">
        <f>K91/1000/(PI()*(O91/1000)^2/4)</f>
        <v/>
      </c>
      <c r="Q91" s="20" t="n">
        <v>3.3</v>
      </c>
      <c r="R91" s="13">
        <f>Q91*Datos!$B$17</f>
        <v/>
      </c>
      <c r="S91" s="21">
        <f>P91*O91/1000/IF(C91="AF",Datos!$B$46,Datos!$B$47)</f>
        <v/>
      </c>
      <c r="T91" s="22">
        <f>IF(S91&lt;=0,0,0.25/(LOG10(Datos!$B$48/(3.7*O91/1000)+5.74/S91^0.9))^2)</f>
        <v/>
      </c>
      <c r="U91" s="11">
        <f>IF(R91=0,0,T91*R91/(O91/1000)*P91^2/(2*Datos!$B$45))</f>
        <v/>
      </c>
      <c r="V91" s="19" t="n">
        <v>0</v>
      </c>
      <c r="W91" s="11">
        <f>V91*P91^2/(2*Datos!$B$45)</f>
        <v/>
      </c>
      <c r="X91" s="11">
        <f>U91+W91</f>
        <v/>
      </c>
    </row>
    <row r="92">
      <c r="A92" s="8" t="inlineStr">
        <is>
          <t>MCBR4</t>
        </is>
      </c>
      <c r="B92" s="4" t="inlineStr">
        <is>
          <t>Montante ACS baja E: tramo hasta planta 4</t>
        </is>
      </c>
      <c r="C92" s="4" t="inlineStr">
        <is>
          <t>ACS</t>
        </is>
      </c>
      <c r="D92" s="4" t="inlineStr">
        <is>
          <t>MC</t>
        </is>
      </c>
      <c r="E92" s="5" t="n">
        <v>48</v>
      </c>
      <c r="F92" s="5" t="n">
        <v>0</v>
      </c>
      <c r="G92" s="5" t="n">
        <v>4</v>
      </c>
      <c r="H92" s="9" t="n">
        <v>0</v>
      </c>
      <c r="I92" s="11">
        <f>IF(C92="AF",E92*Locales!$L$4+F92*Locales!$L$5+G92*Locales!$L$6,E92*Locales!$M$4+F92*Locales!$M$5+G92*Locales!$M$6)+H92</f>
        <v/>
      </c>
      <c r="J92" s="9" t="n">
        <v>0</v>
      </c>
      <c r="K92" s="11">
        <f>MAX(J92,IF(I92&lt;=0,0,MIN(I92,IF(I92&lt;=20,Datos!$B$25*I92^Datos!$C$25+Datos!$D$25,Datos!$B$26*I92^Datos!$C$26+Datos!$D$26))))</f>
        <v/>
      </c>
      <c r="L92" s="19" t="n">
        <v>1</v>
      </c>
      <c r="M92" s="16">
        <f>SQRT(4*K92/1000/(PI()*L92))*1000</f>
        <v/>
      </c>
      <c r="N92" s="4">
        <f>IF(D92="MC",INDEX(Tubos!$B$4:$B$12,MIN(COUNTIF(Tubos!$C$4:$C$12,"&lt;"&amp;M92)+1,9)),IF(D92="PE",INDEX(Tubos!$B$15:$B$21,MIN(COUNTIF(Tubos!$C$15:$C$21,"&lt;"&amp;M92)+1,7)),INDEX(Tubos!$B$24:$B$33,MIN(COUNTIF(Tubos!$C$24:$C$33,"&lt;"&amp;M92)+1,10))))</f>
        <v/>
      </c>
      <c r="O92" s="16">
        <f>IF(D92="MC",INDEX(Tubos!$C$4:$C$12,MIN(COUNTIF(Tubos!$C$4:$C$12,"&lt;"&amp;M92)+1,9)),IF(D92="PE",INDEX(Tubos!$C$15:$C$21,MIN(COUNTIF(Tubos!$C$15:$C$21,"&lt;"&amp;M92)+1,7)),INDEX(Tubos!$C$24:$C$33,MIN(COUNTIF(Tubos!$C$24:$C$33,"&lt;"&amp;M92)+1,10))))</f>
        <v/>
      </c>
      <c r="P92" s="13">
        <f>K92/1000/(PI()*(O92/1000)^2/4)</f>
        <v/>
      </c>
      <c r="Q92" s="20" t="n">
        <v>3.3</v>
      </c>
      <c r="R92" s="13">
        <f>Q92*Datos!$B$17</f>
        <v/>
      </c>
      <c r="S92" s="21">
        <f>P92*O92/1000/IF(C92="AF",Datos!$B$46,Datos!$B$47)</f>
        <v/>
      </c>
      <c r="T92" s="22">
        <f>IF(S92&lt;=0,0,0.25/(LOG10(Datos!$B$48/(3.7*O92/1000)+5.74/S92^0.9))^2)</f>
        <v/>
      </c>
      <c r="U92" s="11">
        <f>IF(R92=0,0,T92*R92/(O92/1000)*P92^2/(2*Datos!$B$45))</f>
        <v/>
      </c>
      <c r="V92" s="19" t="n">
        <v>0</v>
      </c>
      <c r="W92" s="11">
        <f>V92*P92^2/(2*Datos!$B$45)</f>
        <v/>
      </c>
      <c r="X92" s="11">
        <f>U92+W92</f>
        <v/>
      </c>
    </row>
    <row r="93">
      <c r="A93" s="8" t="inlineStr">
        <is>
          <t>MCBL5</t>
        </is>
      </c>
      <c r="B93" s="4" t="inlineStr">
        <is>
          <t>Montante ACS baja O: tramo hasta planta 5</t>
        </is>
      </c>
      <c r="C93" s="4" t="inlineStr">
        <is>
          <t>ACS</t>
        </is>
      </c>
      <c r="D93" s="4" t="inlineStr">
        <is>
          <t>MC</t>
        </is>
      </c>
      <c r="E93" s="5" t="n">
        <v>36</v>
      </c>
      <c r="F93" s="5" t="n">
        <v>6</v>
      </c>
      <c r="G93" s="5" t="n">
        <v>0</v>
      </c>
      <c r="H93" s="9" t="n">
        <v>0</v>
      </c>
      <c r="I93" s="11">
        <f>IF(C93="AF",E93*Locales!$L$4+F93*Locales!$L$5+G93*Locales!$L$6,E93*Locales!$M$4+F93*Locales!$M$5+G93*Locales!$M$6)+H93</f>
        <v/>
      </c>
      <c r="J93" s="9" t="n">
        <v>0</v>
      </c>
      <c r="K93" s="11">
        <f>MAX(J93,IF(I93&lt;=0,0,MIN(I93,IF(I93&lt;=20,Datos!$B$25*I93^Datos!$C$25+Datos!$D$25,Datos!$B$26*I93^Datos!$C$26+Datos!$D$26))))</f>
        <v/>
      </c>
      <c r="L93" s="19" t="n">
        <v>1</v>
      </c>
      <c r="M93" s="16">
        <f>SQRT(4*K93/1000/(PI()*L93))*1000</f>
        <v/>
      </c>
      <c r="N93" s="4">
        <f>IF(D93="MC",INDEX(Tubos!$B$4:$B$12,MIN(COUNTIF(Tubos!$C$4:$C$12,"&lt;"&amp;M93)+1,9)),IF(D93="PE",INDEX(Tubos!$B$15:$B$21,MIN(COUNTIF(Tubos!$C$15:$C$21,"&lt;"&amp;M93)+1,7)),INDEX(Tubos!$B$24:$B$33,MIN(COUNTIF(Tubos!$C$24:$C$33,"&lt;"&amp;M93)+1,10))))</f>
        <v/>
      </c>
      <c r="O93" s="16">
        <f>IF(D93="MC",INDEX(Tubos!$C$4:$C$12,MIN(COUNTIF(Tubos!$C$4:$C$12,"&lt;"&amp;M93)+1,9)),IF(D93="PE",INDEX(Tubos!$C$15:$C$21,MIN(COUNTIF(Tubos!$C$15:$C$21,"&lt;"&amp;M93)+1,7)),INDEX(Tubos!$C$24:$C$33,MIN(COUNTIF(Tubos!$C$24:$C$33,"&lt;"&amp;M93)+1,10))))</f>
        <v/>
      </c>
      <c r="P93" s="13">
        <f>K93/1000/(PI()*(O93/1000)^2/4)</f>
        <v/>
      </c>
      <c r="Q93" s="20" t="n">
        <v>3.3</v>
      </c>
      <c r="R93" s="13">
        <f>Q93*Datos!$B$17</f>
        <v/>
      </c>
      <c r="S93" s="21">
        <f>P93*O93/1000/IF(C93="AF",Datos!$B$46,Datos!$B$47)</f>
        <v/>
      </c>
      <c r="T93" s="22">
        <f>IF(S93&lt;=0,0,0.25/(LOG10(Datos!$B$48/(3.7*O93/1000)+5.74/S93^0.9))^2)</f>
        <v/>
      </c>
      <c r="U93" s="11">
        <f>IF(R93=0,0,T93*R93/(O93/1000)*P93^2/(2*Datos!$B$45))</f>
        <v/>
      </c>
      <c r="V93" s="19" t="n">
        <v>0</v>
      </c>
      <c r="W93" s="11">
        <f>V93*P93^2/(2*Datos!$B$45)</f>
        <v/>
      </c>
      <c r="X93" s="11">
        <f>U93+W93</f>
        <v/>
      </c>
    </row>
    <row r="94">
      <c r="A94" s="8" t="inlineStr">
        <is>
          <t>MCBR5</t>
        </is>
      </c>
      <c r="B94" s="4" t="inlineStr">
        <is>
          <t>Montante ACS baja E: tramo hasta planta 5</t>
        </is>
      </c>
      <c r="C94" s="4" t="inlineStr">
        <is>
          <t>ACS</t>
        </is>
      </c>
      <c r="D94" s="4" t="inlineStr">
        <is>
          <t>MC</t>
        </is>
      </c>
      <c r="E94" s="5" t="n">
        <v>36</v>
      </c>
      <c r="F94" s="5" t="n">
        <v>0</v>
      </c>
      <c r="G94" s="5" t="n">
        <v>3</v>
      </c>
      <c r="H94" s="9" t="n">
        <v>0</v>
      </c>
      <c r="I94" s="11">
        <f>IF(C94="AF",E94*Locales!$L$4+F94*Locales!$L$5+G94*Locales!$L$6,E94*Locales!$M$4+F94*Locales!$M$5+G94*Locales!$M$6)+H94</f>
        <v/>
      </c>
      <c r="J94" s="9" t="n">
        <v>0</v>
      </c>
      <c r="K94" s="11">
        <f>MAX(J94,IF(I94&lt;=0,0,MIN(I94,IF(I94&lt;=20,Datos!$B$25*I94^Datos!$C$25+Datos!$D$25,Datos!$B$26*I94^Datos!$C$26+Datos!$D$26))))</f>
        <v/>
      </c>
      <c r="L94" s="19" t="n">
        <v>1</v>
      </c>
      <c r="M94" s="16">
        <f>SQRT(4*K94/1000/(PI()*L94))*1000</f>
        <v/>
      </c>
      <c r="N94" s="4">
        <f>IF(D94="MC",INDEX(Tubos!$B$4:$B$12,MIN(COUNTIF(Tubos!$C$4:$C$12,"&lt;"&amp;M94)+1,9)),IF(D94="PE",INDEX(Tubos!$B$15:$B$21,MIN(COUNTIF(Tubos!$C$15:$C$21,"&lt;"&amp;M94)+1,7)),INDEX(Tubos!$B$24:$B$33,MIN(COUNTIF(Tubos!$C$24:$C$33,"&lt;"&amp;M94)+1,10))))</f>
        <v/>
      </c>
      <c r="O94" s="16">
        <f>IF(D94="MC",INDEX(Tubos!$C$4:$C$12,MIN(COUNTIF(Tubos!$C$4:$C$12,"&lt;"&amp;M94)+1,9)),IF(D94="PE",INDEX(Tubos!$C$15:$C$21,MIN(COUNTIF(Tubos!$C$15:$C$21,"&lt;"&amp;M94)+1,7)),INDEX(Tubos!$C$24:$C$33,MIN(COUNTIF(Tubos!$C$24:$C$33,"&lt;"&amp;M94)+1,10))))</f>
        <v/>
      </c>
      <c r="P94" s="13">
        <f>K94/1000/(PI()*(O94/1000)^2/4)</f>
        <v/>
      </c>
      <c r="Q94" s="20" t="n">
        <v>3.3</v>
      </c>
      <c r="R94" s="13">
        <f>Q94*Datos!$B$17</f>
        <v/>
      </c>
      <c r="S94" s="21">
        <f>P94*O94/1000/IF(C94="AF",Datos!$B$46,Datos!$B$47)</f>
        <v/>
      </c>
      <c r="T94" s="22">
        <f>IF(S94&lt;=0,0,0.25/(LOG10(Datos!$B$48/(3.7*O94/1000)+5.74/S94^0.9))^2)</f>
        <v/>
      </c>
      <c r="U94" s="11">
        <f>IF(R94=0,0,T94*R94/(O94/1000)*P94^2/(2*Datos!$B$45))</f>
        <v/>
      </c>
      <c r="V94" s="19" t="n">
        <v>0</v>
      </c>
      <c r="W94" s="11">
        <f>V94*P94^2/(2*Datos!$B$45)</f>
        <v/>
      </c>
      <c r="X94" s="11">
        <f>U94+W94</f>
        <v/>
      </c>
    </row>
    <row r="95">
      <c r="A95" s="8" t="inlineStr">
        <is>
          <t>MCBL6</t>
        </is>
      </c>
      <c r="B95" s="4" t="inlineStr">
        <is>
          <t>Montante ACS baja O: tramo hasta planta 6</t>
        </is>
      </c>
      <c r="C95" s="4" t="inlineStr">
        <is>
          <t>ACS</t>
        </is>
      </c>
      <c r="D95" s="4" t="inlineStr">
        <is>
          <t>MC</t>
        </is>
      </c>
      <c r="E95" s="5" t="n">
        <v>24</v>
      </c>
      <c r="F95" s="5" t="n">
        <v>4</v>
      </c>
      <c r="G95" s="5" t="n">
        <v>0</v>
      </c>
      <c r="H95" s="9" t="n">
        <v>0</v>
      </c>
      <c r="I95" s="11">
        <f>IF(C95="AF",E95*Locales!$L$4+F95*Locales!$L$5+G95*Locales!$L$6,E95*Locales!$M$4+F95*Locales!$M$5+G95*Locales!$M$6)+H95</f>
        <v/>
      </c>
      <c r="J95" s="9" t="n">
        <v>0</v>
      </c>
      <c r="K95" s="11">
        <f>MAX(J95,IF(I95&lt;=0,0,MIN(I95,IF(I95&lt;=20,Datos!$B$25*I95^Datos!$C$25+Datos!$D$25,Datos!$B$26*I95^Datos!$C$26+Datos!$D$26))))</f>
        <v/>
      </c>
      <c r="L95" s="19" t="n">
        <v>1</v>
      </c>
      <c r="M95" s="16">
        <f>SQRT(4*K95/1000/(PI()*L95))*1000</f>
        <v/>
      </c>
      <c r="N95" s="4">
        <f>IF(D95="MC",INDEX(Tubos!$B$4:$B$12,MIN(COUNTIF(Tubos!$C$4:$C$12,"&lt;"&amp;M95)+1,9)),IF(D95="PE",INDEX(Tubos!$B$15:$B$21,MIN(COUNTIF(Tubos!$C$15:$C$21,"&lt;"&amp;M95)+1,7)),INDEX(Tubos!$B$24:$B$33,MIN(COUNTIF(Tubos!$C$24:$C$33,"&lt;"&amp;M95)+1,10))))</f>
        <v/>
      </c>
      <c r="O95" s="16">
        <f>IF(D95="MC",INDEX(Tubos!$C$4:$C$12,MIN(COUNTIF(Tubos!$C$4:$C$12,"&lt;"&amp;M95)+1,9)),IF(D95="PE",INDEX(Tubos!$C$15:$C$21,MIN(COUNTIF(Tubos!$C$15:$C$21,"&lt;"&amp;M95)+1,7)),INDEX(Tubos!$C$24:$C$33,MIN(COUNTIF(Tubos!$C$24:$C$33,"&lt;"&amp;M95)+1,10))))</f>
        <v/>
      </c>
      <c r="P95" s="13">
        <f>K95/1000/(PI()*(O95/1000)^2/4)</f>
        <v/>
      </c>
      <c r="Q95" s="20" t="n">
        <v>3.3</v>
      </c>
      <c r="R95" s="13">
        <f>Q95*Datos!$B$17</f>
        <v/>
      </c>
      <c r="S95" s="21">
        <f>P95*O95/1000/IF(C95="AF",Datos!$B$46,Datos!$B$47)</f>
        <v/>
      </c>
      <c r="T95" s="22">
        <f>IF(S95&lt;=0,0,0.25/(LOG10(Datos!$B$48/(3.7*O95/1000)+5.74/S95^0.9))^2)</f>
        <v/>
      </c>
      <c r="U95" s="11">
        <f>IF(R95=0,0,T95*R95/(O95/1000)*P95^2/(2*Datos!$B$45))</f>
        <v/>
      </c>
      <c r="V95" s="19" t="n">
        <v>0</v>
      </c>
      <c r="W95" s="11">
        <f>V95*P95^2/(2*Datos!$B$45)</f>
        <v/>
      </c>
      <c r="X95" s="11">
        <f>U95+W95</f>
        <v/>
      </c>
    </row>
    <row r="96">
      <c r="A96" s="8" t="inlineStr">
        <is>
          <t>MCBR6</t>
        </is>
      </c>
      <c r="B96" s="4" t="inlineStr">
        <is>
          <t>Montante ACS baja E: tramo hasta planta 6</t>
        </is>
      </c>
      <c r="C96" s="4" t="inlineStr">
        <is>
          <t>ACS</t>
        </is>
      </c>
      <c r="D96" s="4" t="inlineStr">
        <is>
          <t>MC</t>
        </is>
      </c>
      <c r="E96" s="5" t="n">
        <v>24</v>
      </c>
      <c r="F96" s="5" t="n">
        <v>0</v>
      </c>
      <c r="G96" s="5" t="n">
        <v>2</v>
      </c>
      <c r="H96" s="9" t="n">
        <v>0</v>
      </c>
      <c r="I96" s="11">
        <f>IF(C96="AF",E96*Locales!$L$4+F96*Locales!$L$5+G96*Locales!$L$6,E96*Locales!$M$4+F96*Locales!$M$5+G96*Locales!$M$6)+H96</f>
        <v/>
      </c>
      <c r="J96" s="9" t="n">
        <v>0</v>
      </c>
      <c r="K96" s="11">
        <f>MAX(J96,IF(I96&lt;=0,0,MIN(I96,IF(I96&lt;=20,Datos!$B$25*I96^Datos!$C$25+Datos!$D$25,Datos!$B$26*I96^Datos!$C$26+Datos!$D$26))))</f>
        <v/>
      </c>
      <c r="L96" s="19" t="n">
        <v>1</v>
      </c>
      <c r="M96" s="16">
        <f>SQRT(4*K96/1000/(PI()*L96))*1000</f>
        <v/>
      </c>
      <c r="N96" s="4">
        <f>IF(D96="MC",INDEX(Tubos!$B$4:$B$12,MIN(COUNTIF(Tubos!$C$4:$C$12,"&lt;"&amp;M96)+1,9)),IF(D96="PE",INDEX(Tubos!$B$15:$B$21,MIN(COUNTIF(Tubos!$C$15:$C$21,"&lt;"&amp;M96)+1,7)),INDEX(Tubos!$B$24:$B$33,MIN(COUNTIF(Tubos!$C$24:$C$33,"&lt;"&amp;M96)+1,10))))</f>
        <v/>
      </c>
      <c r="O96" s="16">
        <f>IF(D96="MC",INDEX(Tubos!$C$4:$C$12,MIN(COUNTIF(Tubos!$C$4:$C$12,"&lt;"&amp;M96)+1,9)),IF(D96="PE",INDEX(Tubos!$C$15:$C$21,MIN(COUNTIF(Tubos!$C$15:$C$21,"&lt;"&amp;M96)+1,7)),INDEX(Tubos!$C$24:$C$33,MIN(COUNTIF(Tubos!$C$24:$C$33,"&lt;"&amp;M96)+1,10))))</f>
        <v/>
      </c>
      <c r="P96" s="13">
        <f>K96/1000/(PI()*(O96/1000)^2/4)</f>
        <v/>
      </c>
      <c r="Q96" s="20" t="n">
        <v>3.3</v>
      </c>
      <c r="R96" s="13">
        <f>Q96*Datos!$B$17</f>
        <v/>
      </c>
      <c r="S96" s="21">
        <f>P96*O96/1000/IF(C96="AF",Datos!$B$46,Datos!$B$47)</f>
        <v/>
      </c>
      <c r="T96" s="22">
        <f>IF(S96&lt;=0,0,0.25/(LOG10(Datos!$B$48/(3.7*O96/1000)+5.74/S96^0.9))^2)</f>
        <v/>
      </c>
      <c r="U96" s="11">
        <f>IF(R96=0,0,T96*R96/(O96/1000)*P96^2/(2*Datos!$B$45))</f>
        <v/>
      </c>
      <c r="V96" s="19" t="n">
        <v>0</v>
      </c>
      <c r="W96" s="11">
        <f>V96*P96^2/(2*Datos!$B$45)</f>
        <v/>
      </c>
      <c r="X96" s="11">
        <f>U96+W96</f>
        <v/>
      </c>
    </row>
    <row r="97">
      <c r="A97" s="8" t="inlineStr">
        <is>
          <t>MCBL7</t>
        </is>
      </c>
      <c r="B97" s="4" t="inlineStr">
        <is>
          <t>Montante ACS baja O: tramo hasta planta 7</t>
        </is>
      </c>
      <c r="C97" s="4" t="inlineStr">
        <is>
          <t>ACS</t>
        </is>
      </c>
      <c r="D97" s="4" t="inlineStr">
        <is>
          <t>MC</t>
        </is>
      </c>
      <c r="E97" s="5" t="n">
        <v>12</v>
      </c>
      <c r="F97" s="5" t="n">
        <v>2</v>
      </c>
      <c r="G97" s="5" t="n">
        <v>0</v>
      </c>
      <c r="H97" s="9" t="n">
        <v>0</v>
      </c>
      <c r="I97" s="11">
        <f>IF(C97="AF",E97*Locales!$L$4+F97*Locales!$L$5+G97*Locales!$L$6,E97*Locales!$M$4+F97*Locales!$M$5+G97*Locales!$M$6)+H97</f>
        <v/>
      </c>
      <c r="J97" s="9" t="n">
        <v>0</v>
      </c>
      <c r="K97" s="11">
        <f>MAX(J97,IF(I97&lt;=0,0,MIN(I97,IF(I97&lt;=20,Datos!$B$25*I97^Datos!$C$25+Datos!$D$25,Datos!$B$26*I97^Datos!$C$26+Datos!$D$26))))</f>
        <v/>
      </c>
      <c r="L97" s="19" t="n">
        <v>1</v>
      </c>
      <c r="M97" s="16">
        <f>SQRT(4*K97/1000/(PI()*L97))*1000</f>
        <v/>
      </c>
      <c r="N97" s="4">
        <f>IF(D97="MC",INDEX(Tubos!$B$4:$B$12,MIN(COUNTIF(Tubos!$C$4:$C$12,"&lt;"&amp;M97)+1,9)),IF(D97="PE",INDEX(Tubos!$B$15:$B$21,MIN(COUNTIF(Tubos!$C$15:$C$21,"&lt;"&amp;M97)+1,7)),INDEX(Tubos!$B$24:$B$33,MIN(COUNTIF(Tubos!$C$24:$C$33,"&lt;"&amp;M97)+1,10))))</f>
        <v/>
      </c>
      <c r="O97" s="16">
        <f>IF(D97="MC",INDEX(Tubos!$C$4:$C$12,MIN(COUNTIF(Tubos!$C$4:$C$12,"&lt;"&amp;M97)+1,9)),IF(D97="PE",INDEX(Tubos!$C$15:$C$21,MIN(COUNTIF(Tubos!$C$15:$C$21,"&lt;"&amp;M97)+1,7)),INDEX(Tubos!$C$24:$C$33,MIN(COUNTIF(Tubos!$C$24:$C$33,"&lt;"&amp;M97)+1,10))))</f>
        <v/>
      </c>
      <c r="P97" s="13">
        <f>K97/1000/(PI()*(O97/1000)^2/4)</f>
        <v/>
      </c>
      <c r="Q97" s="20" t="n">
        <v>3.3</v>
      </c>
      <c r="R97" s="13">
        <f>Q97*Datos!$B$17</f>
        <v/>
      </c>
      <c r="S97" s="21">
        <f>P97*O97/1000/IF(C97="AF",Datos!$B$46,Datos!$B$47)</f>
        <v/>
      </c>
      <c r="T97" s="22">
        <f>IF(S97&lt;=0,0,0.25/(LOG10(Datos!$B$48/(3.7*O97/1000)+5.74/S97^0.9))^2)</f>
        <v/>
      </c>
      <c r="U97" s="11">
        <f>IF(R97=0,0,T97*R97/(O97/1000)*P97^2/(2*Datos!$B$45))</f>
        <v/>
      </c>
      <c r="V97" s="19" t="n">
        <v>0</v>
      </c>
      <c r="W97" s="11">
        <f>V97*P97^2/(2*Datos!$B$45)</f>
        <v/>
      </c>
      <c r="X97" s="11">
        <f>U97+W97</f>
        <v/>
      </c>
    </row>
    <row r="98">
      <c r="A98" s="8" t="inlineStr">
        <is>
          <t>MCBR7</t>
        </is>
      </c>
      <c r="B98" s="4" t="inlineStr">
        <is>
          <t>Montante ACS baja E: tramo hasta planta 7</t>
        </is>
      </c>
      <c r="C98" s="4" t="inlineStr">
        <is>
          <t>ACS</t>
        </is>
      </c>
      <c r="D98" s="4" t="inlineStr">
        <is>
          <t>MC</t>
        </is>
      </c>
      <c r="E98" s="5" t="n">
        <v>12</v>
      </c>
      <c r="F98" s="5" t="n">
        <v>0</v>
      </c>
      <c r="G98" s="5" t="n">
        <v>1</v>
      </c>
      <c r="H98" s="9" t="n">
        <v>0</v>
      </c>
      <c r="I98" s="11">
        <f>IF(C98="AF",E98*Locales!$L$4+F98*Locales!$L$5+G98*Locales!$L$6,E98*Locales!$M$4+F98*Locales!$M$5+G98*Locales!$M$6)+H98</f>
        <v/>
      </c>
      <c r="J98" s="9" t="n">
        <v>0</v>
      </c>
      <c r="K98" s="11">
        <f>MAX(J98,IF(I98&lt;=0,0,MIN(I98,IF(I98&lt;=20,Datos!$B$25*I98^Datos!$C$25+Datos!$D$25,Datos!$B$26*I98^Datos!$C$26+Datos!$D$26))))</f>
        <v/>
      </c>
      <c r="L98" s="19" t="n">
        <v>1</v>
      </c>
      <c r="M98" s="16">
        <f>SQRT(4*K98/1000/(PI()*L98))*1000</f>
        <v/>
      </c>
      <c r="N98" s="4">
        <f>IF(D98="MC",INDEX(Tubos!$B$4:$B$12,MIN(COUNTIF(Tubos!$C$4:$C$12,"&lt;"&amp;M98)+1,9)),IF(D98="PE",INDEX(Tubos!$B$15:$B$21,MIN(COUNTIF(Tubos!$C$15:$C$21,"&lt;"&amp;M98)+1,7)),INDEX(Tubos!$B$24:$B$33,MIN(COUNTIF(Tubos!$C$24:$C$33,"&lt;"&amp;M98)+1,10))))</f>
        <v/>
      </c>
      <c r="O98" s="16">
        <f>IF(D98="MC",INDEX(Tubos!$C$4:$C$12,MIN(COUNTIF(Tubos!$C$4:$C$12,"&lt;"&amp;M98)+1,9)),IF(D98="PE",INDEX(Tubos!$C$15:$C$21,MIN(COUNTIF(Tubos!$C$15:$C$21,"&lt;"&amp;M98)+1,7)),INDEX(Tubos!$C$24:$C$33,MIN(COUNTIF(Tubos!$C$24:$C$33,"&lt;"&amp;M98)+1,10))))</f>
        <v/>
      </c>
      <c r="P98" s="13">
        <f>K98/1000/(PI()*(O98/1000)^2/4)</f>
        <v/>
      </c>
      <c r="Q98" s="20" t="n">
        <v>3.3</v>
      </c>
      <c r="R98" s="13">
        <f>Q98*Datos!$B$17</f>
        <v/>
      </c>
      <c r="S98" s="21">
        <f>P98*O98/1000/IF(C98="AF",Datos!$B$46,Datos!$B$47)</f>
        <v/>
      </c>
      <c r="T98" s="22">
        <f>IF(S98&lt;=0,0,0.25/(LOG10(Datos!$B$48/(3.7*O98/1000)+5.74/S98^0.9))^2)</f>
        <v/>
      </c>
      <c r="U98" s="11">
        <f>IF(R98=0,0,T98*R98/(O98/1000)*P98^2/(2*Datos!$B$45))</f>
        <v/>
      </c>
      <c r="V98" s="19" t="n">
        <v>0</v>
      </c>
      <c r="W98" s="11">
        <f>V98*P98^2/(2*Datos!$B$45)</f>
        <v/>
      </c>
      <c r="X98" s="11">
        <f>U98+W98</f>
        <v/>
      </c>
    </row>
    <row r="99">
      <c r="A99" s="8" t="inlineStr">
        <is>
          <t>PBW</t>
        </is>
      </c>
      <c r="B99" s="4" t="inlineStr">
        <is>
          <t>PB: cuarto → aseos públicos (O)</t>
        </is>
      </c>
      <c r="C99" s="4" t="inlineStr">
        <is>
          <t>AF</t>
        </is>
      </c>
      <c r="D99" s="4" t="inlineStr">
        <is>
          <t>MC</t>
        </is>
      </c>
      <c r="E99" s="5" t="n">
        <v>0</v>
      </c>
      <c r="F99" s="5" t="n">
        <v>0</v>
      </c>
      <c r="G99" s="5" t="n">
        <v>0</v>
      </c>
      <c r="H99" s="11">
        <f>Locales!$L$7+Locales!$L$8</f>
        <v/>
      </c>
      <c r="I99" s="11">
        <f>IF(C99="AF",E99*Locales!$L$4+F99*Locales!$L$5+G99*Locales!$L$6,E99*Locales!$M$4+F99*Locales!$M$5+G99*Locales!$M$6)+H99</f>
        <v/>
      </c>
      <c r="J99" s="9" t="n">
        <v>0</v>
      </c>
      <c r="K99" s="11">
        <f>MAX(J99,IF(I99&lt;=0,0,MIN(I99,IF(I99&lt;=20,Datos!$B$25*I99^Datos!$C$25+Datos!$D$25,Datos!$B$26*I99^Datos!$C$26+Datos!$D$26))))</f>
        <v/>
      </c>
      <c r="L99" s="19" t="n">
        <v>1</v>
      </c>
      <c r="M99" s="16">
        <f>SQRT(4*K99/1000/(PI()*L99))*1000</f>
        <v/>
      </c>
      <c r="N99" s="4">
        <f>IF(D99="MC",INDEX(Tubos!$B$4:$B$12,MIN(COUNTIF(Tubos!$C$4:$C$12,"&lt;"&amp;M99)+1,9)),IF(D99="PE",INDEX(Tubos!$B$15:$B$21,MIN(COUNTIF(Tubos!$C$15:$C$21,"&lt;"&amp;M99)+1,7)),INDEX(Tubos!$B$24:$B$33,MIN(COUNTIF(Tubos!$C$24:$C$33,"&lt;"&amp;M99)+1,10))))</f>
        <v/>
      </c>
      <c r="O99" s="16">
        <f>IF(D99="MC",INDEX(Tubos!$C$4:$C$12,MIN(COUNTIF(Tubos!$C$4:$C$12,"&lt;"&amp;M99)+1,9)),IF(D99="PE",INDEX(Tubos!$C$15:$C$21,MIN(COUNTIF(Tubos!$C$15:$C$21,"&lt;"&amp;M99)+1,7)),INDEX(Tubos!$C$24:$C$33,MIN(COUNTIF(Tubos!$C$24:$C$33,"&lt;"&amp;M99)+1,10))))</f>
        <v/>
      </c>
      <c r="P99" s="13">
        <f>K99/1000/(PI()*(O99/1000)^2/4)</f>
        <v/>
      </c>
      <c r="Q99" s="20" t="n">
        <v>12</v>
      </c>
      <c r="R99" s="13">
        <f>Q99*Datos!$B$17</f>
        <v/>
      </c>
      <c r="S99" s="21">
        <f>P99*O99/1000/IF(C99="AF",Datos!$B$46,Datos!$B$47)</f>
        <v/>
      </c>
      <c r="T99" s="22">
        <f>IF(S99&lt;=0,0,0.25/(LOG10(Datos!$B$48/(3.7*O99/1000)+5.74/S99^0.9))^2)</f>
        <v/>
      </c>
      <c r="U99" s="11">
        <f>IF(R99=0,0,T99*R99/(O99/1000)*P99^2/(2*Datos!$B$45))</f>
        <v/>
      </c>
      <c r="V99" s="19" t="n">
        <v>0.3</v>
      </c>
      <c r="W99" s="11">
        <f>V99*P99^2/(2*Datos!$B$45)</f>
        <v/>
      </c>
      <c r="X99" s="11">
        <f>U99+W99</f>
        <v/>
      </c>
    </row>
    <row r="100">
      <c r="A100" s="8" t="inlineStr">
        <is>
          <t>PBE1</t>
        </is>
      </c>
      <c r="B100" s="4" t="inlineStr">
        <is>
          <t>PB: cuarto → barra</t>
        </is>
      </c>
      <c r="C100" s="4" t="inlineStr">
        <is>
          <t>AF</t>
        </is>
      </c>
      <c r="D100" s="4" t="inlineStr">
        <is>
          <t>MC</t>
        </is>
      </c>
      <c r="E100" s="5" t="n">
        <v>0</v>
      </c>
      <c r="F100" s="5" t="n">
        <v>0</v>
      </c>
      <c r="G100" s="5" t="n">
        <v>0</v>
      </c>
      <c r="H100" s="11">
        <f>Plantas!$Q$5-Locales!$L$7-Locales!$L$8</f>
        <v/>
      </c>
      <c r="I100" s="11">
        <f>IF(C100="AF",E100*Locales!$L$4+F100*Locales!$L$5+G100*Locales!$L$6,E100*Locales!$M$4+F100*Locales!$M$5+G100*Locales!$M$6)+H100</f>
        <v/>
      </c>
      <c r="J100" s="9" t="n">
        <v>0</v>
      </c>
      <c r="K100" s="11">
        <f>MAX(J100,IF(I100&lt;=0,0,MIN(I100,IF(I100&lt;=20,Datos!$B$25*I100^Datos!$C$25+Datos!$D$25,Datos!$B$26*I100^Datos!$C$26+Datos!$D$26))))</f>
        <v/>
      </c>
      <c r="L100" s="19" t="n">
        <v>1</v>
      </c>
      <c r="M100" s="16">
        <f>SQRT(4*K100/1000/(PI()*L100))*1000</f>
        <v/>
      </c>
      <c r="N100" s="4">
        <f>IF(D100="MC",INDEX(Tubos!$B$4:$B$12,MIN(COUNTIF(Tubos!$C$4:$C$12,"&lt;"&amp;M100)+1,9)),IF(D100="PE",INDEX(Tubos!$B$15:$B$21,MIN(COUNTIF(Tubos!$C$15:$C$21,"&lt;"&amp;M100)+1,7)),INDEX(Tubos!$B$24:$B$33,MIN(COUNTIF(Tubos!$C$24:$C$33,"&lt;"&amp;M100)+1,10))))</f>
        <v/>
      </c>
      <c r="O100" s="16">
        <f>IF(D100="MC",INDEX(Tubos!$C$4:$C$12,MIN(COUNTIF(Tubos!$C$4:$C$12,"&lt;"&amp;M100)+1,9)),IF(D100="PE",INDEX(Tubos!$C$15:$C$21,MIN(COUNTIF(Tubos!$C$15:$C$21,"&lt;"&amp;M100)+1,7)),INDEX(Tubos!$C$24:$C$33,MIN(COUNTIF(Tubos!$C$24:$C$33,"&lt;"&amp;M100)+1,10))))</f>
        <v/>
      </c>
      <c r="P100" s="13">
        <f>K100/1000/(PI()*(O100/1000)^2/4)</f>
        <v/>
      </c>
      <c r="Q100" s="20" t="n">
        <v>4</v>
      </c>
      <c r="R100" s="13">
        <f>Q100*Datos!$B$17</f>
        <v/>
      </c>
      <c r="S100" s="21">
        <f>P100*O100/1000/IF(C100="AF",Datos!$B$46,Datos!$B$47)</f>
        <v/>
      </c>
      <c r="T100" s="22">
        <f>IF(S100&lt;=0,0,0.25/(LOG10(Datos!$B$48/(3.7*O100/1000)+5.74/S100^0.9))^2)</f>
        <v/>
      </c>
      <c r="U100" s="11">
        <f>IF(R100=0,0,T100*R100/(O100/1000)*P100^2/(2*Datos!$B$45))</f>
        <v/>
      </c>
      <c r="V100" s="19" t="n">
        <v>0.3</v>
      </c>
      <c r="W100" s="11">
        <f>V100*P100^2/(2*Datos!$B$45)</f>
        <v/>
      </c>
      <c r="X100" s="11">
        <f>U100+W100</f>
        <v/>
      </c>
    </row>
    <row r="101">
      <c r="A101" s="8" t="inlineStr">
        <is>
          <t>PBE2</t>
        </is>
      </c>
      <c r="B101" s="4" t="inlineStr">
        <is>
          <t>PB: barra → vestuarios</t>
        </is>
      </c>
      <c r="C101" s="4" t="inlineStr">
        <is>
          <t>AF</t>
        </is>
      </c>
      <c r="D101" s="4" t="inlineStr">
        <is>
          <t>MC</t>
        </is>
      </c>
      <c r="E101" s="5" t="n">
        <v>0</v>
      </c>
      <c r="F101" s="5" t="n">
        <v>0</v>
      </c>
      <c r="G101" s="5" t="n">
        <v>0</v>
      </c>
      <c r="H101" s="11">
        <f>Plantas!$Q$5-Locales!$L$7-Locales!$L$8-Locales!$L$11</f>
        <v/>
      </c>
      <c r="I101" s="11">
        <f>IF(C101="AF",E101*Locales!$L$4+F101*Locales!$L$5+G101*Locales!$L$6,E101*Locales!$M$4+F101*Locales!$M$5+G101*Locales!$M$6)+H101</f>
        <v/>
      </c>
      <c r="J101" s="9" t="n">
        <v>0</v>
      </c>
      <c r="K101" s="11">
        <f>MAX(J101,IF(I101&lt;=0,0,MIN(I101,IF(I101&lt;=20,Datos!$B$25*I101^Datos!$C$25+Datos!$D$25,Datos!$B$26*I101^Datos!$C$26+Datos!$D$26))))</f>
        <v/>
      </c>
      <c r="L101" s="19" t="n">
        <v>1</v>
      </c>
      <c r="M101" s="16">
        <f>SQRT(4*K101/1000/(PI()*L101))*1000</f>
        <v/>
      </c>
      <c r="N101" s="4">
        <f>IF(D101="MC",INDEX(Tubos!$B$4:$B$12,MIN(COUNTIF(Tubos!$C$4:$C$12,"&lt;"&amp;M101)+1,9)),IF(D101="PE",INDEX(Tubos!$B$15:$B$21,MIN(COUNTIF(Tubos!$C$15:$C$21,"&lt;"&amp;M101)+1,7)),INDEX(Tubos!$B$24:$B$33,MIN(COUNTIF(Tubos!$C$24:$C$33,"&lt;"&amp;M101)+1,10))))</f>
        <v/>
      </c>
      <c r="O101" s="16">
        <f>IF(D101="MC",INDEX(Tubos!$C$4:$C$12,MIN(COUNTIF(Tubos!$C$4:$C$12,"&lt;"&amp;M101)+1,9)),IF(D101="PE",INDEX(Tubos!$C$15:$C$21,MIN(COUNTIF(Tubos!$C$15:$C$21,"&lt;"&amp;M101)+1,7)),INDEX(Tubos!$C$24:$C$33,MIN(COUNTIF(Tubos!$C$24:$C$33,"&lt;"&amp;M101)+1,10))))</f>
        <v/>
      </c>
      <c r="P101" s="13">
        <f>K101/1000/(PI()*(O101/1000)^2/4)</f>
        <v/>
      </c>
      <c r="Q101" s="20" t="n">
        <v>8.4</v>
      </c>
      <c r="R101" s="13">
        <f>Q101*Datos!$B$17</f>
        <v/>
      </c>
      <c r="S101" s="21">
        <f>P101*O101/1000/IF(C101="AF",Datos!$B$46,Datos!$B$47)</f>
        <v/>
      </c>
      <c r="T101" s="22">
        <f>IF(S101&lt;=0,0,0.25/(LOG10(Datos!$B$48/(3.7*O101/1000)+5.74/S101^0.9))^2)</f>
        <v/>
      </c>
      <c r="U101" s="11">
        <f>IF(R101=0,0,T101*R101/(O101/1000)*P101^2/(2*Datos!$B$45))</f>
        <v/>
      </c>
      <c r="V101" s="19" t="n">
        <v>0</v>
      </c>
      <c r="W101" s="11">
        <f>V101*P101^2/(2*Datos!$B$45)</f>
        <v/>
      </c>
      <c r="X101" s="11">
        <f>U101+W101</f>
        <v/>
      </c>
    </row>
    <row r="102">
      <c r="A102" s="8" t="inlineStr">
        <is>
          <t>PBE3</t>
        </is>
      </c>
      <c r="B102" s="4" t="inlineStr">
        <is>
          <t>PB: vestuarios → cocina/c.frío/basuras</t>
        </is>
      </c>
      <c r="C102" s="4" t="inlineStr">
        <is>
          <t>AF</t>
        </is>
      </c>
      <c r="D102" s="4" t="inlineStr">
        <is>
          <t>MC</t>
        </is>
      </c>
      <c r="E102" s="5" t="n">
        <v>0</v>
      </c>
      <c r="F102" s="5" t="n">
        <v>0</v>
      </c>
      <c r="G102" s="5" t="n">
        <v>0</v>
      </c>
      <c r="H102" s="11">
        <f>Plantas!$Q$5-Locales!$L$7-Locales!$L$8-Locales!$L$11-Locales!$L$9-Locales!$L$10</f>
        <v/>
      </c>
      <c r="I102" s="11">
        <f>IF(C102="AF",E102*Locales!$L$4+F102*Locales!$L$5+G102*Locales!$L$6,E102*Locales!$M$4+F102*Locales!$M$5+G102*Locales!$M$6)+H102</f>
        <v/>
      </c>
      <c r="J102" s="9" t="n">
        <v>0</v>
      </c>
      <c r="K102" s="11">
        <f>MAX(J102,IF(I102&lt;=0,0,MIN(I102,IF(I102&lt;=20,Datos!$B$25*I102^Datos!$C$25+Datos!$D$25,Datos!$B$26*I102^Datos!$C$26+Datos!$D$26))))</f>
        <v/>
      </c>
      <c r="L102" s="19" t="n">
        <v>1</v>
      </c>
      <c r="M102" s="16">
        <f>SQRT(4*K102/1000/(PI()*L102))*1000</f>
        <v/>
      </c>
      <c r="N102" s="4">
        <f>IF(D102="MC",INDEX(Tubos!$B$4:$B$12,MIN(COUNTIF(Tubos!$C$4:$C$12,"&lt;"&amp;M102)+1,9)),IF(D102="PE",INDEX(Tubos!$B$15:$B$21,MIN(COUNTIF(Tubos!$C$15:$C$21,"&lt;"&amp;M102)+1,7)),INDEX(Tubos!$B$24:$B$33,MIN(COUNTIF(Tubos!$C$24:$C$33,"&lt;"&amp;M102)+1,10))))</f>
        <v/>
      </c>
      <c r="O102" s="16">
        <f>IF(D102="MC",INDEX(Tubos!$C$4:$C$12,MIN(COUNTIF(Tubos!$C$4:$C$12,"&lt;"&amp;M102)+1,9)),IF(D102="PE",INDEX(Tubos!$C$15:$C$21,MIN(COUNTIF(Tubos!$C$15:$C$21,"&lt;"&amp;M102)+1,7)),INDEX(Tubos!$C$24:$C$33,MIN(COUNTIF(Tubos!$C$24:$C$33,"&lt;"&amp;M102)+1,10))))</f>
        <v/>
      </c>
      <c r="P102" s="13">
        <f>K102/1000/(PI()*(O102/1000)^2/4)</f>
        <v/>
      </c>
      <c r="Q102" s="20" t="n">
        <v>9</v>
      </c>
      <c r="R102" s="13">
        <f>Q102*Datos!$B$17</f>
        <v/>
      </c>
      <c r="S102" s="21">
        <f>P102*O102/1000/IF(C102="AF",Datos!$B$46,Datos!$B$47)</f>
        <v/>
      </c>
      <c r="T102" s="22">
        <f>IF(S102&lt;=0,0,0.25/(LOG10(Datos!$B$48/(3.7*O102/1000)+5.74/S102^0.9))^2)</f>
        <v/>
      </c>
      <c r="U102" s="11">
        <f>IF(R102=0,0,T102*R102/(O102/1000)*P102^2/(2*Datos!$B$45))</f>
        <v/>
      </c>
      <c r="V102" s="19" t="n">
        <v>0</v>
      </c>
      <c r="W102" s="11">
        <f>V102*P102^2/(2*Datos!$B$45)</f>
        <v/>
      </c>
      <c r="X102" s="11">
        <f>U102+W102</f>
        <v/>
      </c>
    </row>
    <row r="103">
      <c r="A103" s="8" t="inlineStr">
        <is>
          <t>PBE4</t>
        </is>
      </c>
      <c r="B103" s="4" t="inlineStr">
        <is>
          <t>PB: cocina → oficio PB</t>
        </is>
      </c>
      <c r="C103" s="4" t="inlineStr">
        <is>
          <t>AF</t>
        </is>
      </c>
      <c r="D103" s="4" t="inlineStr">
        <is>
          <t>MC</t>
        </is>
      </c>
      <c r="E103" s="5" t="n">
        <v>5</v>
      </c>
      <c r="F103" s="5" t="n">
        <v>2</v>
      </c>
      <c r="G103" s="5" t="n">
        <v>1</v>
      </c>
      <c r="H103" s="9" t="n">
        <v>0</v>
      </c>
      <c r="I103" s="11">
        <f>IF(C103="AF",E103*Locales!$L$4+F103*Locales!$L$5+G103*Locales!$L$6,E103*Locales!$M$4+F103*Locales!$M$5+G103*Locales!$M$6)+H103</f>
        <v/>
      </c>
      <c r="J103" s="9" t="n">
        <v>0</v>
      </c>
      <c r="K103" s="11">
        <f>MAX(J103,IF(I103&lt;=0,0,MIN(I103,IF(I103&lt;=20,Datos!$B$25*I103^Datos!$C$25+Datos!$D$25,Datos!$B$26*I103^Datos!$C$26+Datos!$D$26))))</f>
        <v/>
      </c>
      <c r="L103" s="19" t="n">
        <v>1</v>
      </c>
      <c r="M103" s="16">
        <f>SQRT(4*K103/1000/(PI()*L103))*1000</f>
        <v/>
      </c>
      <c r="N103" s="4">
        <f>IF(D103="MC",INDEX(Tubos!$B$4:$B$12,MIN(COUNTIF(Tubos!$C$4:$C$12,"&lt;"&amp;M103)+1,9)),IF(D103="PE",INDEX(Tubos!$B$15:$B$21,MIN(COUNTIF(Tubos!$C$15:$C$21,"&lt;"&amp;M103)+1,7)),INDEX(Tubos!$B$24:$B$33,MIN(COUNTIF(Tubos!$C$24:$C$33,"&lt;"&amp;M103)+1,10))))</f>
        <v/>
      </c>
      <c r="O103" s="16">
        <f>IF(D103="MC",INDEX(Tubos!$C$4:$C$12,MIN(COUNTIF(Tubos!$C$4:$C$12,"&lt;"&amp;M103)+1,9)),IF(D103="PE",INDEX(Tubos!$C$15:$C$21,MIN(COUNTIF(Tubos!$C$15:$C$21,"&lt;"&amp;M103)+1,7)),INDEX(Tubos!$C$24:$C$33,MIN(COUNTIF(Tubos!$C$24:$C$33,"&lt;"&amp;M103)+1,10))))</f>
        <v/>
      </c>
      <c r="P103" s="13">
        <f>K103/1000/(PI()*(O103/1000)^2/4)</f>
        <v/>
      </c>
      <c r="Q103" s="20" t="n">
        <v>5</v>
      </c>
      <c r="R103" s="13">
        <f>Q103*Datos!$B$17</f>
        <v/>
      </c>
      <c r="S103" s="21">
        <f>P103*O103/1000/IF(C103="AF",Datos!$B$46,Datos!$B$47)</f>
        <v/>
      </c>
      <c r="T103" s="22">
        <f>IF(S103&lt;=0,0,0.25/(LOG10(Datos!$B$48/(3.7*O103/1000)+5.74/S103^0.9))^2)</f>
        <v/>
      </c>
      <c r="U103" s="11">
        <f>IF(R103=0,0,T103*R103/(O103/1000)*P103^2/(2*Datos!$B$45))</f>
        <v/>
      </c>
      <c r="V103" s="19" t="n">
        <v>0</v>
      </c>
      <c r="W103" s="11">
        <f>V103*P103^2/(2*Datos!$B$45)</f>
        <v/>
      </c>
      <c r="X103" s="11">
        <f>U103+W103</f>
        <v/>
      </c>
    </row>
    <row r="104">
      <c r="A104" s="8" t="inlineStr">
        <is>
          <t>PBE5</t>
        </is>
      </c>
      <c r="B104" s="4" t="inlineStr">
        <is>
          <t>PB: oficio → habitaciones PB</t>
        </is>
      </c>
      <c r="C104" s="4" t="inlineStr">
        <is>
          <t>AF</t>
        </is>
      </c>
      <c r="D104" s="4" t="inlineStr">
        <is>
          <t>MC</t>
        </is>
      </c>
      <c r="E104" s="5" t="n">
        <v>5</v>
      </c>
      <c r="F104" s="5" t="n">
        <v>2</v>
      </c>
      <c r="G104" s="5" t="n">
        <v>0</v>
      </c>
      <c r="H104" s="9" t="n">
        <v>0</v>
      </c>
      <c r="I104" s="11">
        <f>IF(C104="AF",E104*Locales!$L$4+F104*Locales!$L$5+G104*Locales!$L$6,E104*Locales!$M$4+F104*Locales!$M$5+G104*Locales!$M$6)+H104</f>
        <v/>
      </c>
      <c r="J104" s="9" t="n">
        <v>0</v>
      </c>
      <c r="K104" s="11">
        <f>MAX(J104,IF(I104&lt;=0,0,MIN(I104,IF(I104&lt;=20,Datos!$B$25*I104^Datos!$C$25+Datos!$D$25,Datos!$B$26*I104^Datos!$C$26+Datos!$D$26))))</f>
        <v/>
      </c>
      <c r="L104" s="19" t="n">
        <v>1</v>
      </c>
      <c r="M104" s="16">
        <f>SQRT(4*K104/1000/(PI()*L104))*1000</f>
        <v/>
      </c>
      <c r="N104" s="4">
        <f>IF(D104="MC",INDEX(Tubos!$B$4:$B$12,MIN(COUNTIF(Tubos!$C$4:$C$12,"&lt;"&amp;M104)+1,9)),IF(D104="PE",INDEX(Tubos!$B$15:$B$21,MIN(COUNTIF(Tubos!$C$15:$C$21,"&lt;"&amp;M104)+1,7)),INDEX(Tubos!$B$24:$B$33,MIN(COUNTIF(Tubos!$C$24:$C$33,"&lt;"&amp;M104)+1,10))))</f>
        <v/>
      </c>
      <c r="O104" s="16">
        <f>IF(D104="MC",INDEX(Tubos!$C$4:$C$12,MIN(COUNTIF(Tubos!$C$4:$C$12,"&lt;"&amp;M104)+1,9)),IF(D104="PE",INDEX(Tubos!$C$15:$C$21,MIN(COUNTIF(Tubos!$C$15:$C$21,"&lt;"&amp;M104)+1,7)),INDEX(Tubos!$C$24:$C$33,MIN(COUNTIF(Tubos!$C$24:$C$33,"&lt;"&amp;M104)+1,10))))</f>
        <v/>
      </c>
      <c r="P104" s="13">
        <f>K104/1000/(PI()*(O104/1000)^2/4)</f>
        <v/>
      </c>
      <c r="Q104" s="20" t="n">
        <v>5.5</v>
      </c>
      <c r="R104" s="13">
        <f>Q104*Datos!$B$17</f>
        <v/>
      </c>
      <c r="S104" s="21">
        <f>P104*O104/1000/IF(C104="AF",Datos!$B$46,Datos!$B$47)</f>
        <v/>
      </c>
      <c r="T104" s="22">
        <f>IF(S104&lt;=0,0,0.25/(LOG10(Datos!$B$48/(3.7*O104/1000)+5.74/S104^0.9))^2)</f>
        <v/>
      </c>
      <c r="U104" s="11">
        <f>IF(R104=0,0,T104*R104/(O104/1000)*P104^2/(2*Datos!$B$45))</f>
        <v/>
      </c>
      <c r="V104" s="19" t="n">
        <v>0</v>
      </c>
      <c r="W104" s="11">
        <f>V104*P104^2/(2*Datos!$B$45)</f>
        <v/>
      </c>
      <c r="X104" s="11">
        <f>U104+W104</f>
        <v/>
      </c>
    </row>
    <row r="105">
      <c r="A105" s="8" t="inlineStr">
        <is>
          <t>PBE6</t>
        </is>
      </c>
      <c r="B105" s="4" t="inlineStr">
        <is>
          <t>PB: derivación hab. 002 (incl. subida forjado)</t>
        </is>
      </c>
      <c r="C105" s="4" t="inlineStr">
        <is>
          <t>AF</t>
        </is>
      </c>
      <c r="D105" s="4" t="inlineStr">
        <is>
          <t>MC</t>
        </is>
      </c>
      <c r="E105" s="5" t="n">
        <v>1</v>
      </c>
      <c r="F105" s="5" t="n">
        <v>0</v>
      </c>
      <c r="G105" s="5" t="n">
        <v>0</v>
      </c>
      <c r="H105" s="9" t="n">
        <v>0</v>
      </c>
      <c r="I105" s="11">
        <f>IF(C105="AF",E105*Locales!$L$4+F105*Locales!$L$5+G105*Locales!$L$6,E105*Locales!$M$4+F105*Locales!$M$5+G105*Locales!$M$6)+H105</f>
        <v/>
      </c>
      <c r="J105" s="9" t="n">
        <v>0</v>
      </c>
      <c r="K105" s="11">
        <f>MAX(J105,IF(I105&lt;=0,0,MIN(I105,IF(I105&lt;=20,Datos!$B$25*I105^Datos!$C$25+Datos!$D$25,Datos!$B$26*I105^Datos!$C$26+Datos!$D$26))))</f>
        <v/>
      </c>
      <c r="L105" s="19" t="n">
        <v>1</v>
      </c>
      <c r="M105" s="16">
        <f>SQRT(4*K105/1000/(PI()*L105))*1000</f>
        <v/>
      </c>
      <c r="N105" s="4">
        <f>IF(D105="MC",INDEX(Tubos!$B$4:$B$12,MIN(COUNTIF(Tubos!$C$4:$C$12,"&lt;"&amp;M105)+1,9)),IF(D105="PE",INDEX(Tubos!$B$15:$B$21,MIN(COUNTIF(Tubos!$C$15:$C$21,"&lt;"&amp;M105)+1,7)),INDEX(Tubos!$B$24:$B$33,MIN(COUNTIF(Tubos!$C$24:$C$33,"&lt;"&amp;M105)+1,10))))</f>
        <v/>
      </c>
      <c r="O105" s="16">
        <f>IF(D105="MC",INDEX(Tubos!$C$4:$C$12,MIN(COUNTIF(Tubos!$C$4:$C$12,"&lt;"&amp;M105)+1,9)),IF(D105="PE",INDEX(Tubos!$C$15:$C$21,MIN(COUNTIF(Tubos!$C$15:$C$21,"&lt;"&amp;M105)+1,7)),INDEX(Tubos!$C$24:$C$33,MIN(COUNTIF(Tubos!$C$24:$C$33,"&lt;"&amp;M105)+1,10))))</f>
        <v/>
      </c>
      <c r="P105" s="13">
        <f>K105/1000/(PI()*(O105/1000)^2/4)</f>
        <v/>
      </c>
      <c r="Q105" s="20" t="n">
        <v>6</v>
      </c>
      <c r="R105" s="13">
        <f>Q105*Datos!$B$17</f>
        <v/>
      </c>
      <c r="S105" s="21">
        <f>P105*O105/1000/IF(C105="AF",Datos!$B$46,Datos!$B$47)</f>
        <v/>
      </c>
      <c r="T105" s="22">
        <f>IF(S105&lt;=0,0,0.25/(LOG10(Datos!$B$48/(3.7*O105/1000)+5.74/S105^0.9))^2)</f>
        <v/>
      </c>
      <c r="U105" s="11">
        <f>IF(R105=0,0,T105*R105/(O105/1000)*P105^2/(2*Datos!$B$45))</f>
        <v/>
      </c>
      <c r="V105" s="19" t="n">
        <v>0.3</v>
      </c>
      <c r="W105" s="11">
        <f>V105*P105^2/(2*Datos!$B$45)</f>
        <v/>
      </c>
      <c r="X105" s="11">
        <f>U105+W105</f>
        <v/>
      </c>
    </row>
    <row r="106">
      <c r="A106" s="8" t="inlineStr">
        <is>
          <t>PBWC</t>
        </is>
      </c>
      <c r="B106" s="4" t="inlineStr">
        <is>
          <t>PB: cuarto → aseos públicos (O)</t>
        </is>
      </c>
      <c r="C106" s="4" t="inlineStr">
        <is>
          <t>ACS</t>
        </is>
      </c>
      <c r="D106" s="4" t="inlineStr">
        <is>
          <t>MC</t>
        </is>
      </c>
      <c r="E106" s="5" t="n">
        <v>0</v>
      </c>
      <c r="F106" s="5" t="n">
        <v>0</v>
      </c>
      <c r="G106" s="5" t="n">
        <v>0</v>
      </c>
      <c r="H106" s="11">
        <f>Locales!$M$7+Locales!$M$8</f>
        <v/>
      </c>
      <c r="I106" s="11">
        <f>IF(C106="AF",E106*Locales!$L$4+F106*Locales!$L$5+G106*Locales!$L$6,E106*Locales!$M$4+F106*Locales!$M$5+G106*Locales!$M$6)+H106</f>
        <v/>
      </c>
      <c r="J106" s="9" t="n">
        <v>0</v>
      </c>
      <c r="K106" s="11">
        <f>MAX(J106,IF(I106&lt;=0,0,MIN(I106,IF(I106&lt;=20,Datos!$B$25*I106^Datos!$C$25+Datos!$D$25,Datos!$B$26*I106^Datos!$C$26+Datos!$D$26))))</f>
        <v/>
      </c>
      <c r="L106" s="19" t="n">
        <v>1</v>
      </c>
      <c r="M106" s="16">
        <f>SQRT(4*K106/1000/(PI()*L106))*1000</f>
        <v/>
      </c>
      <c r="N106" s="4">
        <f>IF(D106="MC",INDEX(Tubos!$B$4:$B$12,MIN(COUNTIF(Tubos!$C$4:$C$12,"&lt;"&amp;M106)+1,9)),IF(D106="PE",INDEX(Tubos!$B$15:$B$21,MIN(COUNTIF(Tubos!$C$15:$C$21,"&lt;"&amp;M106)+1,7)),INDEX(Tubos!$B$24:$B$33,MIN(COUNTIF(Tubos!$C$24:$C$33,"&lt;"&amp;M106)+1,10))))</f>
        <v/>
      </c>
      <c r="O106" s="16">
        <f>IF(D106="MC",INDEX(Tubos!$C$4:$C$12,MIN(COUNTIF(Tubos!$C$4:$C$12,"&lt;"&amp;M106)+1,9)),IF(D106="PE",INDEX(Tubos!$C$15:$C$21,MIN(COUNTIF(Tubos!$C$15:$C$21,"&lt;"&amp;M106)+1,7)),INDEX(Tubos!$C$24:$C$33,MIN(COUNTIF(Tubos!$C$24:$C$33,"&lt;"&amp;M106)+1,10))))</f>
        <v/>
      </c>
      <c r="P106" s="13">
        <f>K106/1000/(PI()*(O106/1000)^2/4)</f>
        <v/>
      </c>
      <c r="Q106" s="20" t="n">
        <v>12</v>
      </c>
      <c r="R106" s="13">
        <f>Q106*Datos!$B$17</f>
        <v/>
      </c>
      <c r="S106" s="21">
        <f>P106*O106/1000/IF(C106="AF",Datos!$B$46,Datos!$B$47)</f>
        <v/>
      </c>
      <c r="T106" s="22">
        <f>IF(S106&lt;=0,0,0.25/(LOG10(Datos!$B$48/(3.7*O106/1000)+5.74/S106^0.9))^2)</f>
        <v/>
      </c>
      <c r="U106" s="11">
        <f>IF(R106=0,0,T106*R106/(O106/1000)*P106^2/(2*Datos!$B$45))</f>
        <v/>
      </c>
      <c r="V106" s="19" t="n">
        <v>0.3</v>
      </c>
      <c r="W106" s="11">
        <f>V106*P106^2/(2*Datos!$B$45)</f>
        <v/>
      </c>
      <c r="X106" s="11">
        <f>U106+W106</f>
        <v/>
      </c>
    </row>
    <row r="107">
      <c r="A107" s="8" t="inlineStr">
        <is>
          <t>PBE1C</t>
        </is>
      </c>
      <c r="B107" s="4" t="inlineStr">
        <is>
          <t>PB: cuarto → barra</t>
        </is>
      </c>
      <c r="C107" s="4" t="inlineStr">
        <is>
          <t>ACS</t>
        </is>
      </c>
      <c r="D107" s="4" t="inlineStr">
        <is>
          <t>MC</t>
        </is>
      </c>
      <c r="E107" s="5" t="n">
        <v>0</v>
      </c>
      <c r="F107" s="5" t="n">
        <v>0</v>
      </c>
      <c r="G107" s="5" t="n">
        <v>0</v>
      </c>
      <c r="H107" s="11">
        <f>Plantas!$R$5-Locales!$M$7-Locales!$M$8</f>
        <v/>
      </c>
      <c r="I107" s="11">
        <f>IF(C107="AF",E107*Locales!$L$4+F107*Locales!$L$5+G107*Locales!$L$6,E107*Locales!$M$4+F107*Locales!$M$5+G107*Locales!$M$6)+H107</f>
        <v/>
      </c>
      <c r="J107" s="9" t="n">
        <v>0</v>
      </c>
      <c r="K107" s="11">
        <f>MAX(J107,IF(I107&lt;=0,0,MIN(I107,IF(I107&lt;=20,Datos!$B$25*I107^Datos!$C$25+Datos!$D$25,Datos!$B$26*I107^Datos!$C$26+Datos!$D$26))))</f>
        <v/>
      </c>
      <c r="L107" s="19" t="n">
        <v>1</v>
      </c>
      <c r="M107" s="16">
        <f>SQRT(4*K107/1000/(PI()*L107))*1000</f>
        <v/>
      </c>
      <c r="N107" s="4">
        <f>IF(D107="MC",INDEX(Tubos!$B$4:$B$12,MIN(COUNTIF(Tubos!$C$4:$C$12,"&lt;"&amp;M107)+1,9)),IF(D107="PE",INDEX(Tubos!$B$15:$B$21,MIN(COUNTIF(Tubos!$C$15:$C$21,"&lt;"&amp;M107)+1,7)),INDEX(Tubos!$B$24:$B$33,MIN(COUNTIF(Tubos!$C$24:$C$33,"&lt;"&amp;M107)+1,10))))</f>
        <v/>
      </c>
      <c r="O107" s="16">
        <f>IF(D107="MC",INDEX(Tubos!$C$4:$C$12,MIN(COUNTIF(Tubos!$C$4:$C$12,"&lt;"&amp;M107)+1,9)),IF(D107="PE",INDEX(Tubos!$C$15:$C$21,MIN(COUNTIF(Tubos!$C$15:$C$21,"&lt;"&amp;M107)+1,7)),INDEX(Tubos!$C$24:$C$33,MIN(COUNTIF(Tubos!$C$24:$C$33,"&lt;"&amp;M107)+1,10))))</f>
        <v/>
      </c>
      <c r="P107" s="13">
        <f>K107/1000/(PI()*(O107/1000)^2/4)</f>
        <v/>
      </c>
      <c r="Q107" s="20" t="n">
        <v>4</v>
      </c>
      <c r="R107" s="13">
        <f>Q107*Datos!$B$17</f>
        <v/>
      </c>
      <c r="S107" s="21">
        <f>P107*O107/1000/IF(C107="AF",Datos!$B$46,Datos!$B$47)</f>
        <v/>
      </c>
      <c r="T107" s="22">
        <f>IF(S107&lt;=0,0,0.25/(LOG10(Datos!$B$48/(3.7*O107/1000)+5.74/S107^0.9))^2)</f>
        <v/>
      </c>
      <c r="U107" s="11">
        <f>IF(R107=0,0,T107*R107/(O107/1000)*P107^2/(2*Datos!$B$45))</f>
        <v/>
      </c>
      <c r="V107" s="19" t="n">
        <v>0.3</v>
      </c>
      <c r="W107" s="11">
        <f>V107*P107^2/(2*Datos!$B$45)</f>
        <v/>
      </c>
      <c r="X107" s="11">
        <f>U107+W107</f>
        <v/>
      </c>
    </row>
    <row r="108">
      <c r="A108" s="8" t="inlineStr">
        <is>
          <t>PBE2C</t>
        </is>
      </c>
      <c r="B108" s="4" t="inlineStr">
        <is>
          <t>PB: barra → vestuarios</t>
        </is>
      </c>
      <c r="C108" s="4" t="inlineStr">
        <is>
          <t>ACS</t>
        </is>
      </c>
      <c r="D108" s="4" t="inlineStr">
        <is>
          <t>MC</t>
        </is>
      </c>
      <c r="E108" s="5" t="n">
        <v>0</v>
      </c>
      <c r="F108" s="5" t="n">
        <v>0</v>
      </c>
      <c r="G108" s="5" t="n">
        <v>0</v>
      </c>
      <c r="H108" s="11">
        <f>Plantas!$R$5-Locales!$M$7-Locales!$M$8-Locales!$M$11</f>
        <v/>
      </c>
      <c r="I108" s="11">
        <f>IF(C108="AF",E108*Locales!$L$4+F108*Locales!$L$5+G108*Locales!$L$6,E108*Locales!$M$4+F108*Locales!$M$5+G108*Locales!$M$6)+H108</f>
        <v/>
      </c>
      <c r="J108" s="9" t="n">
        <v>0</v>
      </c>
      <c r="K108" s="11">
        <f>MAX(J108,IF(I108&lt;=0,0,MIN(I108,IF(I108&lt;=20,Datos!$B$25*I108^Datos!$C$25+Datos!$D$25,Datos!$B$26*I108^Datos!$C$26+Datos!$D$26))))</f>
        <v/>
      </c>
      <c r="L108" s="19" t="n">
        <v>1</v>
      </c>
      <c r="M108" s="16">
        <f>SQRT(4*K108/1000/(PI()*L108))*1000</f>
        <v/>
      </c>
      <c r="N108" s="4">
        <f>IF(D108="MC",INDEX(Tubos!$B$4:$B$12,MIN(COUNTIF(Tubos!$C$4:$C$12,"&lt;"&amp;M108)+1,9)),IF(D108="PE",INDEX(Tubos!$B$15:$B$21,MIN(COUNTIF(Tubos!$C$15:$C$21,"&lt;"&amp;M108)+1,7)),INDEX(Tubos!$B$24:$B$33,MIN(COUNTIF(Tubos!$C$24:$C$33,"&lt;"&amp;M108)+1,10))))</f>
        <v/>
      </c>
      <c r="O108" s="16">
        <f>IF(D108="MC",INDEX(Tubos!$C$4:$C$12,MIN(COUNTIF(Tubos!$C$4:$C$12,"&lt;"&amp;M108)+1,9)),IF(D108="PE",INDEX(Tubos!$C$15:$C$21,MIN(COUNTIF(Tubos!$C$15:$C$21,"&lt;"&amp;M108)+1,7)),INDEX(Tubos!$C$24:$C$33,MIN(COUNTIF(Tubos!$C$24:$C$33,"&lt;"&amp;M108)+1,10))))</f>
        <v/>
      </c>
      <c r="P108" s="13">
        <f>K108/1000/(PI()*(O108/1000)^2/4)</f>
        <v/>
      </c>
      <c r="Q108" s="20" t="n">
        <v>8.4</v>
      </c>
      <c r="R108" s="13">
        <f>Q108*Datos!$B$17</f>
        <v/>
      </c>
      <c r="S108" s="21">
        <f>P108*O108/1000/IF(C108="AF",Datos!$B$46,Datos!$B$47)</f>
        <v/>
      </c>
      <c r="T108" s="22">
        <f>IF(S108&lt;=0,0,0.25/(LOG10(Datos!$B$48/(3.7*O108/1000)+5.74/S108^0.9))^2)</f>
        <v/>
      </c>
      <c r="U108" s="11">
        <f>IF(R108=0,0,T108*R108/(O108/1000)*P108^2/(2*Datos!$B$45))</f>
        <v/>
      </c>
      <c r="V108" s="19" t="n">
        <v>0</v>
      </c>
      <c r="W108" s="11">
        <f>V108*P108^2/(2*Datos!$B$45)</f>
        <v/>
      </c>
      <c r="X108" s="11">
        <f>U108+W108</f>
        <v/>
      </c>
    </row>
    <row r="109">
      <c r="A109" s="8" t="inlineStr">
        <is>
          <t>PBE3C</t>
        </is>
      </c>
      <c r="B109" s="4" t="inlineStr">
        <is>
          <t>PB: vestuarios → cocina/c.frío/basuras</t>
        </is>
      </c>
      <c r="C109" s="4" t="inlineStr">
        <is>
          <t>ACS</t>
        </is>
      </c>
      <c r="D109" s="4" t="inlineStr">
        <is>
          <t>MC</t>
        </is>
      </c>
      <c r="E109" s="5" t="n">
        <v>0</v>
      </c>
      <c r="F109" s="5" t="n">
        <v>0</v>
      </c>
      <c r="G109" s="5" t="n">
        <v>0</v>
      </c>
      <c r="H109" s="11">
        <f>Plantas!$R$5-Locales!$M$7-Locales!$M$8-Locales!$M$11-Locales!$M$9-Locales!$M$10</f>
        <v/>
      </c>
      <c r="I109" s="11">
        <f>IF(C109="AF",E109*Locales!$L$4+F109*Locales!$L$5+G109*Locales!$L$6,E109*Locales!$M$4+F109*Locales!$M$5+G109*Locales!$M$6)+H109</f>
        <v/>
      </c>
      <c r="J109" s="9" t="n">
        <v>0</v>
      </c>
      <c r="K109" s="11">
        <f>MAX(J109,IF(I109&lt;=0,0,MIN(I109,IF(I109&lt;=20,Datos!$B$25*I109^Datos!$C$25+Datos!$D$25,Datos!$B$26*I109^Datos!$C$26+Datos!$D$26))))</f>
        <v/>
      </c>
      <c r="L109" s="19" t="n">
        <v>1</v>
      </c>
      <c r="M109" s="16">
        <f>SQRT(4*K109/1000/(PI()*L109))*1000</f>
        <v/>
      </c>
      <c r="N109" s="4">
        <f>IF(D109="MC",INDEX(Tubos!$B$4:$B$12,MIN(COUNTIF(Tubos!$C$4:$C$12,"&lt;"&amp;M109)+1,9)),IF(D109="PE",INDEX(Tubos!$B$15:$B$21,MIN(COUNTIF(Tubos!$C$15:$C$21,"&lt;"&amp;M109)+1,7)),INDEX(Tubos!$B$24:$B$33,MIN(COUNTIF(Tubos!$C$24:$C$33,"&lt;"&amp;M109)+1,10))))</f>
        <v/>
      </c>
      <c r="O109" s="16">
        <f>IF(D109="MC",INDEX(Tubos!$C$4:$C$12,MIN(COUNTIF(Tubos!$C$4:$C$12,"&lt;"&amp;M109)+1,9)),IF(D109="PE",INDEX(Tubos!$C$15:$C$21,MIN(COUNTIF(Tubos!$C$15:$C$21,"&lt;"&amp;M109)+1,7)),INDEX(Tubos!$C$24:$C$33,MIN(COUNTIF(Tubos!$C$24:$C$33,"&lt;"&amp;M109)+1,10))))</f>
        <v/>
      </c>
      <c r="P109" s="13">
        <f>K109/1000/(PI()*(O109/1000)^2/4)</f>
        <v/>
      </c>
      <c r="Q109" s="20" t="n">
        <v>9</v>
      </c>
      <c r="R109" s="13">
        <f>Q109*Datos!$B$17</f>
        <v/>
      </c>
      <c r="S109" s="21">
        <f>P109*O109/1000/IF(C109="AF",Datos!$B$46,Datos!$B$47)</f>
        <v/>
      </c>
      <c r="T109" s="22">
        <f>IF(S109&lt;=0,0,0.25/(LOG10(Datos!$B$48/(3.7*O109/1000)+5.74/S109^0.9))^2)</f>
        <v/>
      </c>
      <c r="U109" s="11">
        <f>IF(R109=0,0,T109*R109/(O109/1000)*P109^2/(2*Datos!$B$45))</f>
        <v/>
      </c>
      <c r="V109" s="19" t="n">
        <v>0</v>
      </c>
      <c r="W109" s="11">
        <f>V109*P109^2/(2*Datos!$B$45)</f>
        <v/>
      </c>
      <c r="X109" s="11">
        <f>U109+W109</f>
        <v/>
      </c>
    </row>
    <row r="110">
      <c r="A110" s="8" t="inlineStr">
        <is>
          <t>PBE4C</t>
        </is>
      </c>
      <c r="B110" s="4" t="inlineStr">
        <is>
          <t>PB: cocina → oficio PB</t>
        </is>
      </c>
      <c r="C110" s="4" t="inlineStr">
        <is>
          <t>ACS</t>
        </is>
      </c>
      <c r="D110" s="4" t="inlineStr">
        <is>
          <t>MC</t>
        </is>
      </c>
      <c r="E110" s="5" t="n">
        <v>5</v>
      </c>
      <c r="F110" s="5" t="n">
        <v>2</v>
      </c>
      <c r="G110" s="5" t="n">
        <v>1</v>
      </c>
      <c r="H110" s="9" t="n">
        <v>0</v>
      </c>
      <c r="I110" s="11">
        <f>IF(C110="AF",E110*Locales!$L$4+F110*Locales!$L$5+G110*Locales!$L$6,E110*Locales!$M$4+F110*Locales!$M$5+G110*Locales!$M$6)+H110</f>
        <v/>
      </c>
      <c r="J110" s="9" t="n">
        <v>0</v>
      </c>
      <c r="K110" s="11">
        <f>MAX(J110,IF(I110&lt;=0,0,MIN(I110,IF(I110&lt;=20,Datos!$B$25*I110^Datos!$C$25+Datos!$D$25,Datos!$B$26*I110^Datos!$C$26+Datos!$D$26))))</f>
        <v/>
      </c>
      <c r="L110" s="19" t="n">
        <v>1</v>
      </c>
      <c r="M110" s="16">
        <f>SQRT(4*K110/1000/(PI()*L110))*1000</f>
        <v/>
      </c>
      <c r="N110" s="4">
        <f>IF(D110="MC",INDEX(Tubos!$B$4:$B$12,MIN(COUNTIF(Tubos!$C$4:$C$12,"&lt;"&amp;M110)+1,9)),IF(D110="PE",INDEX(Tubos!$B$15:$B$21,MIN(COUNTIF(Tubos!$C$15:$C$21,"&lt;"&amp;M110)+1,7)),INDEX(Tubos!$B$24:$B$33,MIN(COUNTIF(Tubos!$C$24:$C$33,"&lt;"&amp;M110)+1,10))))</f>
        <v/>
      </c>
      <c r="O110" s="16">
        <f>IF(D110="MC",INDEX(Tubos!$C$4:$C$12,MIN(COUNTIF(Tubos!$C$4:$C$12,"&lt;"&amp;M110)+1,9)),IF(D110="PE",INDEX(Tubos!$C$15:$C$21,MIN(COUNTIF(Tubos!$C$15:$C$21,"&lt;"&amp;M110)+1,7)),INDEX(Tubos!$C$24:$C$33,MIN(COUNTIF(Tubos!$C$24:$C$33,"&lt;"&amp;M110)+1,10))))</f>
        <v/>
      </c>
      <c r="P110" s="13">
        <f>K110/1000/(PI()*(O110/1000)^2/4)</f>
        <v/>
      </c>
      <c r="Q110" s="20" t="n">
        <v>5</v>
      </c>
      <c r="R110" s="13">
        <f>Q110*Datos!$B$17</f>
        <v/>
      </c>
      <c r="S110" s="21">
        <f>P110*O110/1000/IF(C110="AF",Datos!$B$46,Datos!$B$47)</f>
        <v/>
      </c>
      <c r="T110" s="22">
        <f>IF(S110&lt;=0,0,0.25/(LOG10(Datos!$B$48/(3.7*O110/1000)+5.74/S110^0.9))^2)</f>
        <v/>
      </c>
      <c r="U110" s="11">
        <f>IF(R110=0,0,T110*R110/(O110/1000)*P110^2/(2*Datos!$B$45))</f>
        <v/>
      </c>
      <c r="V110" s="19" t="n">
        <v>0</v>
      </c>
      <c r="W110" s="11">
        <f>V110*P110^2/(2*Datos!$B$45)</f>
        <v/>
      </c>
      <c r="X110" s="11">
        <f>U110+W110</f>
        <v/>
      </c>
    </row>
    <row r="111">
      <c r="A111" s="8" t="inlineStr">
        <is>
          <t>PBE5C</t>
        </is>
      </c>
      <c r="B111" s="4" t="inlineStr">
        <is>
          <t>PB: oficio → habitaciones PB</t>
        </is>
      </c>
      <c r="C111" s="4" t="inlineStr">
        <is>
          <t>ACS</t>
        </is>
      </c>
      <c r="D111" s="4" t="inlineStr">
        <is>
          <t>MC</t>
        </is>
      </c>
      <c r="E111" s="5" t="n">
        <v>5</v>
      </c>
      <c r="F111" s="5" t="n">
        <v>2</v>
      </c>
      <c r="G111" s="5" t="n">
        <v>0</v>
      </c>
      <c r="H111" s="9" t="n">
        <v>0</v>
      </c>
      <c r="I111" s="11">
        <f>IF(C111="AF",E111*Locales!$L$4+F111*Locales!$L$5+G111*Locales!$L$6,E111*Locales!$M$4+F111*Locales!$M$5+G111*Locales!$M$6)+H111</f>
        <v/>
      </c>
      <c r="J111" s="9" t="n">
        <v>0</v>
      </c>
      <c r="K111" s="11">
        <f>MAX(J111,IF(I111&lt;=0,0,MIN(I111,IF(I111&lt;=20,Datos!$B$25*I111^Datos!$C$25+Datos!$D$25,Datos!$B$26*I111^Datos!$C$26+Datos!$D$26))))</f>
        <v/>
      </c>
      <c r="L111" s="19" t="n">
        <v>1</v>
      </c>
      <c r="M111" s="16">
        <f>SQRT(4*K111/1000/(PI()*L111))*1000</f>
        <v/>
      </c>
      <c r="N111" s="4">
        <f>IF(D111="MC",INDEX(Tubos!$B$4:$B$12,MIN(COUNTIF(Tubos!$C$4:$C$12,"&lt;"&amp;M111)+1,9)),IF(D111="PE",INDEX(Tubos!$B$15:$B$21,MIN(COUNTIF(Tubos!$C$15:$C$21,"&lt;"&amp;M111)+1,7)),INDEX(Tubos!$B$24:$B$33,MIN(COUNTIF(Tubos!$C$24:$C$33,"&lt;"&amp;M111)+1,10))))</f>
        <v/>
      </c>
      <c r="O111" s="16">
        <f>IF(D111="MC",INDEX(Tubos!$C$4:$C$12,MIN(COUNTIF(Tubos!$C$4:$C$12,"&lt;"&amp;M111)+1,9)),IF(D111="PE",INDEX(Tubos!$C$15:$C$21,MIN(COUNTIF(Tubos!$C$15:$C$21,"&lt;"&amp;M111)+1,7)),INDEX(Tubos!$C$24:$C$33,MIN(COUNTIF(Tubos!$C$24:$C$33,"&lt;"&amp;M111)+1,10))))</f>
        <v/>
      </c>
      <c r="P111" s="13">
        <f>K111/1000/(PI()*(O111/1000)^2/4)</f>
        <v/>
      </c>
      <c r="Q111" s="20" t="n">
        <v>5.5</v>
      </c>
      <c r="R111" s="13">
        <f>Q111*Datos!$B$17</f>
        <v/>
      </c>
      <c r="S111" s="21">
        <f>P111*O111/1000/IF(C111="AF",Datos!$B$46,Datos!$B$47)</f>
        <v/>
      </c>
      <c r="T111" s="22">
        <f>IF(S111&lt;=0,0,0.25/(LOG10(Datos!$B$48/(3.7*O111/1000)+5.74/S111^0.9))^2)</f>
        <v/>
      </c>
      <c r="U111" s="11">
        <f>IF(R111=0,0,T111*R111/(O111/1000)*P111^2/(2*Datos!$B$45))</f>
        <v/>
      </c>
      <c r="V111" s="19" t="n">
        <v>0</v>
      </c>
      <c r="W111" s="11">
        <f>V111*P111^2/(2*Datos!$B$45)</f>
        <v/>
      </c>
      <c r="X111" s="11">
        <f>U111+W111</f>
        <v/>
      </c>
    </row>
    <row r="112">
      <c r="A112" s="8" t="inlineStr">
        <is>
          <t>PBE6C</t>
        </is>
      </c>
      <c r="B112" s="4" t="inlineStr">
        <is>
          <t>PB: derivación hab. 002 (incl. subida forjado)</t>
        </is>
      </c>
      <c r="C112" s="4" t="inlineStr">
        <is>
          <t>ACS</t>
        </is>
      </c>
      <c r="D112" s="4" t="inlineStr">
        <is>
          <t>MC</t>
        </is>
      </c>
      <c r="E112" s="5" t="n">
        <v>1</v>
      </c>
      <c r="F112" s="5" t="n">
        <v>0</v>
      </c>
      <c r="G112" s="5" t="n">
        <v>0</v>
      </c>
      <c r="H112" s="9" t="n">
        <v>0</v>
      </c>
      <c r="I112" s="11">
        <f>IF(C112="AF",E112*Locales!$L$4+F112*Locales!$L$5+G112*Locales!$L$6,E112*Locales!$M$4+F112*Locales!$M$5+G112*Locales!$M$6)+H112</f>
        <v/>
      </c>
      <c r="J112" s="9" t="n">
        <v>0</v>
      </c>
      <c r="K112" s="11">
        <f>MAX(J112,IF(I112&lt;=0,0,MIN(I112,IF(I112&lt;=20,Datos!$B$25*I112^Datos!$C$25+Datos!$D$25,Datos!$B$26*I112^Datos!$C$26+Datos!$D$26))))</f>
        <v/>
      </c>
      <c r="L112" s="19" t="n">
        <v>1</v>
      </c>
      <c r="M112" s="16">
        <f>SQRT(4*K112/1000/(PI()*L112))*1000</f>
        <v/>
      </c>
      <c r="N112" s="4">
        <f>IF(D112="MC",INDEX(Tubos!$B$4:$B$12,MIN(COUNTIF(Tubos!$C$4:$C$12,"&lt;"&amp;M112)+1,9)),IF(D112="PE",INDEX(Tubos!$B$15:$B$21,MIN(COUNTIF(Tubos!$C$15:$C$21,"&lt;"&amp;M112)+1,7)),INDEX(Tubos!$B$24:$B$33,MIN(COUNTIF(Tubos!$C$24:$C$33,"&lt;"&amp;M112)+1,10))))</f>
        <v/>
      </c>
      <c r="O112" s="16">
        <f>IF(D112="MC",INDEX(Tubos!$C$4:$C$12,MIN(COUNTIF(Tubos!$C$4:$C$12,"&lt;"&amp;M112)+1,9)),IF(D112="PE",INDEX(Tubos!$C$15:$C$21,MIN(COUNTIF(Tubos!$C$15:$C$21,"&lt;"&amp;M112)+1,7)),INDEX(Tubos!$C$24:$C$33,MIN(COUNTIF(Tubos!$C$24:$C$33,"&lt;"&amp;M112)+1,10))))</f>
        <v/>
      </c>
      <c r="P112" s="13">
        <f>K112/1000/(PI()*(O112/1000)^2/4)</f>
        <v/>
      </c>
      <c r="Q112" s="20" t="n">
        <v>6</v>
      </c>
      <c r="R112" s="13">
        <f>Q112*Datos!$B$17</f>
        <v/>
      </c>
      <c r="S112" s="21">
        <f>P112*O112/1000/IF(C112="AF",Datos!$B$46,Datos!$B$47)</f>
        <v/>
      </c>
      <c r="T112" s="22">
        <f>IF(S112&lt;=0,0,0.25/(LOG10(Datos!$B$48/(3.7*O112/1000)+5.74/S112^0.9))^2)</f>
        <v/>
      </c>
      <c r="U112" s="11">
        <f>IF(R112=0,0,T112*R112/(O112/1000)*P112^2/(2*Datos!$B$45))</f>
        <v/>
      </c>
      <c r="V112" s="19" t="n">
        <v>0.3</v>
      </c>
      <c r="W112" s="11">
        <f>V112*P112^2/(2*Datos!$B$45)</f>
        <v/>
      </c>
      <c r="X112" s="11">
        <f>U112+W112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10" customWidth="1" min="3" max="3"/>
    <col width="14" customWidth="1" min="4" max="4"/>
    <col width="9" customWidth="1" min="5" max="5"/>
    <col width="13" customWidth="1" min="6" max="6"/>
    <col width="44" customWidth="1" min="7" max="7"/>
  </cols>
  <sheetData>
    <row r="1">
      <c r="A1" s="10" t="inlineStr">
        <is>
          <t>Recorridos más desfavorables (Bernoulli): P final = P inicio + z inicio − z grifo − Σ(hf+hm)</t>
        </is>
      </c>
    </row>
    <row r="2">
      <c r="A2" s="2" t="inlineStr">
        <is>
          <t>DIR: parte de la red (40 mca a cota 0). BOMB: presión mínima necesaria en el calderín. VRP: presión de tarado necesaria a la salida de la reductora ACS baja.</t>
        </is>
      </c>
    </row>
    <row r="4" ht="32" customHeight="1">
      <c r="A4" s="3" t="inlineStr">
        <is>
          <t>Recorrido</t>
        </is>
      </c>
      <c r="B4" s="3" t="inlineStr">
        <is>
          <t>Tipo</t>
        </is>
      </c>
      <c r="C4" s="3" t="inlineStr">
        <is>
          <t>Planta</t>
        </is>
      </c>
      <c r="D4" s="3" t="inlineStr">
        <is>
          <t>Cota grifo (m)</t>
        </is>
      </c>
      <c r="E4" s="3" t="inlineStr">
        <is>
          <t>Σ(hf+hm) (mca)</t>
        </is>
      </c>
      <c r="F4" s="3" t="inlineStr">
        <is>
          <t>Resultado (mca)</t>
        </is>
      </c>
      <c r="G4" s="3" t="inlineStr">
        <is>
          <t>Interpretación</t>
        </is>
      </c>
    </row>
    <row r="5">
      <c r="A5" s="4" t="inlineStr">
        <is>
          <t>R1 AF directo O · P7 · lavabo</t>
        </is>
      </c>
      <c r="B5" t="inlineStr">
        <is>
          <t>DIR</t>
        </is>
      </c>
      <c r="C5" s="5" t="n">
        <v>7</v>
      </c>
      <c r="D5" s="12">
        <f>INDEX(Plantas!$P$4:$P$16,MATCH(C5,Plantas!$B$4:$B$16,0))</f>
        <v/>
      </c>
      <c r="E5" s="13">
        <f>G50</f>
        <v/>
      </c>
      <c r="F5" s="13">
        <f>Datos!$B$7+Datos!$B$49-D5-E5</f>
        <v/>
      </c>
      <c r="G5" s="4">
        <f>IF(F5&gt;=Datos!$B$18,"Presión en grifo ≥ 10 mca: CUMPLE","NO CUMPLE: pasar a bombeo")</f>
        <v/>
      </c>
    </row>
    <row r="6">
      <c r="A6" s="4" t="inlineStr">
        <is>
          <t>R2 AF directo O · P7 · bañera</t>
        </is>
      </c>
      <c r="B6" t="inlineStr">
        <is>
          <t>DIR</t>
        </is>
      </c>
      <c r="C6" s="5" t="n">
        <v>7</v>
      </c>
      <c r="D6" s="12">
        <f>INDEX(Plantas!$P$4:$P$16,MATCH(C6,Plantas!$B$4:$B$16,0))</f>
        <v/>
      </c>
      <c r="E6" s="13">
        <f>G75</f>
        <v/>
      </c>
      <c r="F6" s="13">
        <f>Datos!$B$7+Datos!$B$49-D6-E6</f>
        <v/>
      </c>
      <c r="G6" s="4">
        <f>IF(F6&gt;=Datos!$B$18,"Presión en grifo ≥ 10 mca: CUMPLE","NO CUMPLE: pasar a bombeo")</f>
        <v/>
      </c>
    </row>
    <row r="7">
      <c r="A7" s="4" t="inlineStr">
        <is>
          <t>R3 AF directo E · P7 · lavabo</t>
        </is>
      </c>
      <c r="B7" t="inlineStr">
        <is>
          <t>DIR</t>
        </is>
      </c>
      <c r="C7" s="5" t="n">
        <v>7</v>
      </c>
      <c r="D7" s="12">
        <f>INDEX(Plantas!$P$4:$P$16,MATCH(C7,Plantas!$B$4:$B$16,0))</f>
        <v/>
      </c>
      <c r="E7" s="13">
        <f>G103</f>
        <v/>
      </c>
      <c r="F7" s="13">
        <f>Datos!$B$7+Datos!$B$49-D7-E7</f>
        <v/>
      </c>
      <c r="G7" s="4">
        <f>IF(F7&gt;=Datos!$B$18,"Presión en grifo ≥ 10 mca: CUMPLE","NO CUMPLE: pasar a bombeo")</f>
        <v/>
      </c>
    </row>
    <row r="8">
      <c r="A8" s="4" t="inlineStr">
        <is>
          <t>R4 AF directo E · P7 · bañera</t>
        </is>
      </c>
      <c r="B8" t="inlineStr">
        <is>
          <t>DIR</t>
        </is>
      </c>
      <c r="C8" s="5" t="n">
        <v>7</v>
      </c>
      <c r="D8" s="12">
        <f>INDEX(Plantas!$P$4:$P$16,MATCH(C8,Plantas!$B$4:$B$16,0))</f>
        <v/>
      </c>
      <c r="E8" s="13">
        <f>G129</f>
        <v/>
      </c>
      <c r="F8" s="13">
        <f>Datos!$B$7+Datos!$B$49-D8-E8</f>
        <v/>
      </c>
      <c r="G8" s="4">
        <f>IF(F8&gt;=Datos!$B$18,"Presión en grifo ≥ 10 mca: CUMPLE","NO CUMPLE: pasar a bombeo")</f>
        <v/>
      </c>
    </row>
    <row r="9">
      <c r="A9" s="4" t="inlineStr">
        <is>
          <t>R5 AF bombeo O · P11 · lavabo</t>
        </is>
      </c>
      <c r="B9" t="inlineStr">
        <is>
          <t>BOMB</t>
        </is>
      </c>
      <c r="C9" s="5" t="n">
        <v>11</v>
      </c>
      <c r="D9" s="12">
        <f>INDEX(Plantas!$P$4:$P$16,MATCH(C9,Plantas!$B$4:$B$16,0))</f>
        <v/>
      </c>
      <c r="E9" s="13">
        <f>G147</f>
        <v/>
      </c>
      <c r="F9" s="13">
        <f>Datos!$B$18+D9-Datos!$B$50+E9</f>
        <v/>
      </c>
      <c r="G9" s="4" t="inlineStr">
        <is>
          <t>Presión mínima necesaria en calderín</t>
        </is>
      </c>
    </row>
    <row r="10">
      <c r="A10" s="4" t="inlineStr">
        <is>
          <t>R6 AF bombeo O · P11 · bañera</t>
        </is>
      </c>
      <c r="B10" t="inlineStr">
        <is>
          <t>BOMB</t>
        </is>
      </c>
      <c r="C10" s="5" t="n">
        <v>11</v>
      </c>
      <c r="D10" s="12">
        <f>INDEX(Plantas!$P$4:$P$16,MATCH(C10,Plantas!$B$4:$B$16,0))</f>
        <v/>
      </c>
      <c r="E10" s="13">
        <f>G163</f>
        <v/>
      </c>
      <c r="F10" s="13">
        <f>Datos!$B$18+D10-Datos!$B$50+E10</f>
        <v/>
      </c>
      <c r="G10" s="4" t="inlineStr">
        <is>
          <t>Presión mínima necesaria en calderín</t>
        </is>
      </c>
    </row>
    <row r="11">
      <c r="A11" s="4" t="inlineStr">
        <is>
          <t>R7 AF bombeo E · P11 · lavabo</t>
        </is>
      </c>
      <c r="B11" t="inlineStr">
        <is>
          <t>BOMB</t>
        </is>
      </c>
      <c r="C11" s="5" t="n">
        <v>11</v>
      </c>
      <c r="D11" s="12">
        <f>INDEX(Plantas!$P$4:$P$16,MATCH(C11,Plantas!$B$4:$B$16,0))</f>
        <v/>
      </c>
      <c r="E11" s="13">
        <f>G182</f>
        <v/>
      </c>
      <c r="F11" s="13">
        <f>Datos!$B$18+D11-Datos!$B$50+E11</f>
        <v/>
      </c>
      <c r="G11" s="4" t="inlineStr">
        <is>
          <t>Presión mínima necesaria en calderín</t>
        </is>
      </c>
    </row>
    <row r="12">
      <c r="A12" s="4" t="inlineStr">
        <is>
          <t>R8 AF bombeo E · P11 · bañera</t>
        </is>
      </c>
      <c r="B12" t="inlineStr">
        <is>
          <t>BOMB</t>
        </is>
      </c>
      <c r="C12" s="5" t="n">
        <v>11</v>
      </c>
      <c r="D12" s="12">
        <f>INDEX(Plantas!$P$4:$P$16,MATCH(C12,Plantas!$B$4:$B$16,0))</f>
        <v/>
      </c>
      <c r="E12" s="13">
        <f>G199</f>
        <v/>
      </c>
      <c r="F12" s="13">
        <f>Datos!$B$18+D12-Datos!$B$50+E12</f>
        <v/>
      </c>
      <c r="G12" s="4" t="inlineStr">
        <is>
          <t>Presión mínima necesaria en calderín</t>
        </is>
      </c>
    </row>
    <row r="13">
      <c r="A13" s="4" t="inlineStr">
        <is>
          <t>R9 ACS alta O · P11 · lavabo</t>
        </is>
      </c>
      <c r="B13" t="inlineStr">
        <is>
          <t>BOMB</t>
        </is>
      </c>
      <c r="C13" s="5" t="n">
        <v>11</v>
      </c>
      <c r="D13" s="12">
        <f>INDEX(Plantas!$P$4:$P$16,MATCH(C13,Plantas!$B$4:$B$16,0))</f>
        <v/>
      </c>
      <c r="E13" s="13">
        <f>G218</f>
        <v/>
      </c>
      <c r="F13" s="13">
        <f>Datos!$B$18+D13-Datos!$B$50+E13</f>
        <v/>
      </c>
      <c r="G13" s="4" t="inlineStr">
        <is>
          <t>Presión mínima necesaria en calderín</t>
        </is>
      </c>
    </row>
    <row r="14">
      <c r="A14" s="4" t="inlineStr">
        <is>
          <t>R10 ACS alta O · P11 · bañera</t>
        </is>
      </c>
      <c r="B14" t="inlineStr">
        <is>
          <t>BOMB</t>
        </is>
      </c>
      <c r="C14" s="5" t="n">
        <v>11</v>
      </c>
      <c r="D14" s="12">
        <f>INDEX(Plantas!$P$4:$P$16,MATCH(C14,Plantas!$B$4:$B$16,0))</f>
        <v/>
      </c>
      <c r="E14" s="13">
        <f>G236</f>
        <v/>
      </c>
      <c r="F14" s="13">
        <f>Datos!$B$18+D14-Datos!$B$50+E14</f>
        <v/>
      </c>
      <c r="G14" s="4" t="inlineStr">
        <is>
          <t>Presión mínima necesaria en calderín</t>
        </is>
      </c>
    </row>
    <row r="15">
      <c r="A15" s="4" t="inlineStr">
        <is>
          <t>R11 ACS alta E · P11 · lavabo</t>
        </is>
      </c>
      <c r="B15" t="inlineStr">
        <is>
          <t>BOMB</t>
        </is>
      </c>
      <c r="C15" s="5" t="n">
        <v>11</v>
      </c>
      <c r="D15" s="12">
        <f>INDEX(Plantas!$P$4:$P$16,MATCH(C15,Plantas!$B$4:$B$16,0))</f>
        <v/>
      </c>
      <c r="E15" s="13">
        <f>G256</f>
        <v/>
      </c>
      <c r="F15" s="13">
        <f>Datos!$B$18+D15-Datos!$B$50+E15</f>
        <v/>
      </c>
      <c r="G15" s="4" t="inlineStr">
        <is>
          <t>Presión mínima necesaria en calderín</t>
        </is>
      </c>
    </row>
    <row r="16">
      <c r="A16" s="4" t="inlineStr">
        <is>
          <t>R12 ACS alta E · P11 · bañera</t>
        </is>
      </c>
      <c r="B16" t="inlineStr">
        <is>
          <t>BOMB</t>
        </is>
      </c>
      <c r="C16" s="5" t="n">
        <v>11</v>
      </c>
      <c r="D16" s="12">
        <f>INDEX(Plantas!$P$4:$P$16,MATCH(C16,Plantas!$B$4:$B$16,0))</f>
        <v/>
      </c>
      <c r="E16" s="13">
        <f>G275</f>
        <v/>
      </c>
      <c r="F16" s="13">
        <f>Datos!$B$18+D16-Datos!$B$50+E16</f>
        <v/>
      </c>
      <c r="G16" s="4" t="inlineStr">
        <is>
          <t>Presión mínima necesaria en calderín</t>
        </is>
      </c>
    </row>
    <row r="17">
      <c r="A17" s="4" t="inlineStr">
        <is>
          <t>R13 ACS baja O · P7 · lavabo</t>
        </is>
      </c>
      <c r="B17" t="inlineStr">
        <is>
          <t>VRP</t>
        </is>
      </c>
      <c r="C17" s="5" t="n">
        <v>7</v>
      </c>
      <c r="D17" s="12">
        <f>INDEX(Plantas!$P$4:$P$16,MATCH(C17,Plantas!$B$4:$B$16,0))</f>
        <v/>
      </c>
      <c r="E17" s="13">
        <f>G295</f>
        <v/>
      </c>
      <c r="F17" s="13">
        <f>Datos!$B$18+D17-Datos!$B$52+E17</f>
        <v/>
      </c>
      <c r="G17" s="4" t="inlineStr">
        <is>
          <t>Presión mínima de tarado de la reductora ACS baja</t>
        </is>
      </c>
    </row>
    <row r="18">
      <c r="A18" s="4" t="inlineStr">
        <is>
          <t>R14 ACS baja O · P7 · bañera</t>
        </is>
      </c>
      <c r="B18" t="inlineStr">
        <is>
          <t>VRP</t>
        </is>
      </c>
      <c r="C18" s="5" t="n">
        <v>7</v>
      </c>
      <c r="D18" s="12">
        <f>INDEX(Plantas!$P$4:$P$16,MATCH(C18,Plantas!$B$4:$B$16,0))</f>
        <v/>
      </c>
      <c r="E18" s="13">
        <f>G314</f>
        <v/>
      </c>
      <c r="F18" s="13">
        <f>Datos!$B$18+D18-Datos!$B$52+E18</f>
        <v/>
      </c>
      <c r="G18" s="4" t="inlineStr">
        <is>
          <t>Presión mínima de tarado de la reductora ACS baja</t>
        </is>
      </c>
    </row>
    <row r="19">
      <c r="A19" s="4" t="inlineStr">
        <is>
          <t>R15 ACS baja E · P7 · lavabo</t>
        </is>
      </c>
      <c r="B19" t="inlineStr">
        <is>
          <t>VRP</t>
        </is>
      </c>
      <c r="C19" s="5" t="n">
        <v>7</v>
      </c>
      <c r="D19" s="12">
        <f>INDEX(Plantas!$P$4:$P$16,MATCH(C19,Plantas!$B$4:$B$16,0))</f>
        <v/>
      </c>
      <c r="E19" s="13">
        <f>G335</f>
        <v/>
      </c>
      <c r="F19" s="13">
        <f>Datos!$B$18+D19-Datos!$B$52+E19</f>
        <v/>
      </c>
      <c r="G19" s="4" t="inlineStr">
        <is>
          <t>Presión mínima de tarado de la reductora ACS baja</t>
        </is>
      </c>
    </row>
    <row r="20">
      <c r="A20" s="4" t="inlineStr">
        <is>
          <t>R16 ACS baja E · P7 · bañera</t>
        </is>
      </c>
      <c r="B20" t="inlineStr">
        <is>
          <t>VRP</t>
        </is>
      </c>
      <c r="C20" s="5" t="n">
        <v>7</v>
      </c>
      <c r="D20" s="12">
        <f>INDEX(Plantas!$P$4:$P$16,MATCH(C20,Plantas!$B$4:$B$16,0))</f>
        <v/>
      </c>
      <c r="E20" s="13">
        <f>G355</f>
        <v/>
      </c>
      <c r="F20" s="13">
        <f>Datos!$B$18+D20-Datos!$B$52+E20</f>
        <v/>
      </c>
      <c r="G20" s="4" t="inlineStr">
        <is>
          <t>Presión mínima de tarado de la reductora ACS baja</t>
        </is>
      </c>
    </row>
    <row r="21">
      <c r="A21" s="4" t="inlineStr">
        <is>
          <t>R17 AF directo PB · hab. 002 · lavabo</t>
        </is>
      </c>
      <c r="B21" t="inlineStr">
        <is>
          <t>DIR</t>
        </is>
      </c>
      <c r="C21" s="5" t="n">
        <v>0</v>
      </c>
      <c r="D21" s="12">
        <f>INDEX(Plantas!$P$4:$P$16,MATCH(C21,Plantas!$B$4:$B$16,0))</f>
        <v/>
      </c>
      <c r="E21" s="13">
        <f>G375</f>
        <v/>
      </c>
      <c r="F21" s="13">
        <f>Datos!$B$7+Datos!$B$49-D21-E21</f>
        <v/>
      </c>
      <c r="G21" s="4">
        <f>IF(F21&gt;=Datos!$B$18,"Presión en grifo ≥ 10 mca: CUMPLE","NO CUMPLE: pasar a bombeo")</f>
        <v/>
      </c>
    </row>
    <row r="22">
      <c r="A22" s="4" t="inlineStr">
        <is>
          <t>R18 ACS baja PB · hab. 002 · lavabo</t>
        </is>
      </c>
      <c r="B22" t="inlineStr">
        <is>
          <t>VRP</t>
        </is>
      </c>
      <c r="C22" s="5" t="n">
        <v>0</v>
      </c>
      <c r="D22" s="12">
        <f>INDEX(Plantas!$P$4:$P$16,MATCH(C22,Plantas!$B$4:$B$16,0))</f>
        <v/>
      </c>
      <c r="E22" s="13">
        <f>G388</f>
        <v/>
      </c>
      <c r="F22" s="13">
        <f>Datos!$B$18+D22-Datos!$B$52+E22</f>
        <v/>
      </c>
      <c r="G22" s="4" t="inlineStr">
        <is>
          <t>Presión mínima de tarado de la reductora ACS baja</t>
        </is>
      </c>
    </row>
    <row r="26">
      <c r="A26" s="3" t="inlineStr">
        <is>
          <t>R1 AF directo O · P7 · lavabo</t>
        </is>
      </c>
      <c r="B26" s="3" t="inlineStr">
        <is>
          <t>Descripción</t>
        </is>
      </c>
      <c r="C26" s="3" t="inlineStr">
        <is>
          <t>Qc (l/s)</t>
        </is>
      </c>
      <c r="D26" s="3" t="inlineStr">
        <is>
          <t>Designación</t>
        </is>
      </c>
      <c r="E26" s="3" t="inlineStr">
        <is>
          <t>v (m/s)</t>
        </is>
      </c>
      <c r="F26" s="3" t="inlineStr">
        <is>
          <t>hf+hm (mca)</t>
        </is>
      </c>
      <c r="G26" s="3" t="inlineStr">
        <is>
          <t>Σ acumulada (mca)</t>
        </is>
      </c>
    </row>
    <row r="27">
      <c r="A27" s="4" t="inlineStr">
        <is>
          <t>G1</t>
        </is>
      </c>
      <c r="B27" s="4">
        <f>INDEX(Tramos!$B$5:$B$112,MATCH(A27,Tramos!$A$5:$A$112,0))</f>
        <v/>
      </c>
      <c r="C27" s="11">
        <f>INDEX(Tramos!$K$5:$K$112,MATCH(A27,Tramos!$A$5:$A$112,0))</f>
        <v/>
      </c>
      <c r="D27" s="4">
        <f>INDEX(Tramos!$N$5:$N$112,MATCH(A27,Tramos!$A$5:$A$112,0))</f>
        <v/>
      </c>
      <c r="E27" s="13">
        <f>INDEX(Tramos!$P$5:$P$112,MATCH(A27,Tramos!$A$5:$A$112,0))</f>
        <v/>
      </c>
      <c r="F27" s="11">
        <f>INDEX(Tramos!$X$5:$X$112,MATCH(A27,Tramos!$A$5:$A$112,0))</f>
        <v/>
      </c>
      <c r="G27" s="13">
        <f>SUM(F$27:F27)</f>
        <v/>
      </c>
    </row>
    <row r="28">
      <c r="A28" s="4" t="inlineStr">
        <is>
          <t>E1</t>
        </is>
      </c>
      <c r="B28" s="4">
        <f>INDEX(Tramos!$B$5:$B$112,MATCH(A28,Tramos!$A$5:$A$112,0))</f>
        <v/>
      </c>
      <c r="C28" s="11">
        <f>INDEX(Tramos!$K$5:$K$112,MATCH(A28,Tramos!$A$5:$A$112,0))</f>
        <v/>
      </c>
      <c r="D28" s="4">
        <f>INDEX(Tramos!$N$5:$N$112,MATCH(A28,Tramos!$A$5:$A$112,0))</f>
        <v/>
      </c>
      <c r="E28" s="13">
        <f>INDEX(Tramos!$P$5:$P$112,MATCH(A28,Tramos!$A$5:$A$112,0))</f>
        <v/>
      </c>
      <c r="F28" s="11">
        <f>INDEX(Tramos!$X$5:$X$112,MATCH(A28,Tramos!$A$5:$A$112,0))</f>
        <v/>
      </c>
      <c r="G28" s="13">
        <f>SUM(F$27:F28)</f>
        <v/>
      </c>
    </row>
    <row r="29">
      <c r="A29" s="4" t="inlineStr">
        <is>
          <t>E2</t>
        </is>
      </c>
      <c r="B29" s="4">
        <f>INDEX(Tramos!$B$5:$B$112,MATCH(A29,Tramos!$A$5:$A$112,0))</f>
        <v/>
      </c>
      <c r="C29" s="11">
        <f>INDEX(Tramos!$K$5:$K$112,MATCH(A29,Tramos!$A$5:$A$112,0))</f>
        <v/>
      </c>
      <c r="D29" s="4">
        <f>INDEX(Tramos!$N$5:$N$112,MATCH(A29,Tramos!$A$5:$A$112,0))</f>
        <v/>
      </c>
      <c r="E29" s="13">
        <f>INDEX(Tramos!$P$5:$P$112,MATCH(A29,Tramos!$A$5:$A$112,0))</f>
        <v/>
      </c>
      <c r="F29" s="11">
        <f>INDEX(Tramos!$X$5:$X$112,MATCH(A29,Tramos!$A$5:$A$112,0))</f>
        <v/>
      </c>
      <c r="G29" s="13">
        <f>SUM(F$27:F29)</f>
        <v/>
      </c>
    </row>
    <row r="30">
      <c r="A30" s="4" t="inlineStr">
        <is>
          <t>E3</t>
        </is>
      </c>
      <c r="B30" s="4">
        <f>INDEX(Tramos!$B$5:$B$112,MATCH(A30,Tramos!$A$5:$A$112,0))</f>
        <v/>
      </c>
      <c r="C30" s="11">
        <f>INDEX(Tramos!$K$5:$K$112,MATCH(A30,Tramos!$A$5:$A$112,0))</f>
        <v/>
      </c>
      <c r="D30" s="4">
        <f>INDEX(Tramos!$N$5:$N$112,MATCH(A30,Tramos!$A$5:$A$112,0))</f>
        <v/>
      </c>
      <c r="E30" s="13">
        <f>INDEX(Tramos!$P$5:$P$112,MATCH(A30,Tramos!$A$5:$A$112,0))</f>
        <v/>
      </c>
      <c r="F30" s="11">
        <f>INDEX(Tramos!$X$5:$X$112,MATCH(A30,Tramos!$A$5:$A$112,0))</f>
        <v/>
      </c>
      <c r="G30" s="13">
        <f>SUM(F$27:F30)</f>
        <v/>
      </c>
    </row>
    <row r="31">
      <c r="A31" s="4" t="inlineStr">
        <is>
          <t>G2</t>
        </is>
      </c>
      <c r="B31" s="4">
        <f>INDEX(Tramos!$B$5:$B$112,MATCH(A31,Tramos!$A$5:$A$112,0))</f>
        <v/>
      </c>
      <c r="C31" s="11">
        <f>INDEX(Tramos!$K$5:$K$112,MATCH(A31,Tramos!$A$5:$A$112,0))</f>
        <v/>
      </c>
      <c r="D31" s="4">
        <f>INDEX(Tramos!$N$5:$N$112,MATCH(A31,Tramos!$A$5:$A$112,0))</f>
        <v/>
      </c>
      <c r="E31" s="13">
        <f>INDEX(Tramos!$P$5:$P$112,MATCH(A31,Tramos!$A$5:$A$112,0))</f>
        <v/>
      </c>
      <c r="F31" s="11">
        <f>INDEX(Tramos!$X$5:$X$112,MATCH(A31,Tramos!$A$5:$A$112,0))</f>
        <v/>
      </c>
      <c r="G31" s="13">
        <f>SUM(F$27:F31)</f>
        <v/>
      </c>
    </row>
    <row r="32">
      <c r="A32" s="4" t="inlineStr">
        <is>
          <t>E4</t>
        </is>
      </c>
      <c r="B32" s="4">
        <f>INDEX(Tramos!$B$5:$B$112,MATCH(A32,Tramos!$A$5:$A$112,0))</f>
        <v/>
      </c>
      <c r="C32" s="11">
        <f>INDEX(Tramos!$K$5:$K$112,MATCH(A32,Tramos!$A$5:$A$112,0))</f>
        <v/>
      </c>
      <c r="D32" s="4">
        <f>INDEX(Tramos!$N$5:$N$112,MATCH(A32,Tramos!$A$5:$A$112,0))</f>
        <v/>
      </c>
      <c r="E32" s="13">
        <f>INDEX(Tramos!$P$5:$P$112,MATCH(A32,Tramos!$A$5:$A$112,0))</f>
        <v/>
      </c>
      <c r="F32" s="11">
        <f>INDEX(Tramos!$X$5:$X$112,MATCH(A32,Tramos!$A$5:$A$112,0))</f>
        <v/>
      </c>
      <c r="G32" s="13">
        <f>SUM(F$27:F32)</f>
        <v/>
      </c>
    </row>
    <row r="33">
      <c r="A33" s="4" t="inlineStr">
        <is>
          <t>D0</t>
        </is>
      </c>
      <c r="B33" s="4">
        <f>INDEX(Tramos!$B$5:$B$112,MATCH(A33,Tramos!$A$5:$A$112,0))</f>
        <v/>
      </c>
      <c r="C33" s="11">
        <f>INDEX(Tramos!$K$5:$K$112,MATCH(A33,Tramos!$A$5:$A$112,0))</f>
        <v/>
      </c>
      <c r="D33" s="4">
        <f>INDEX(Tramos!$N$5:$N$112,MATCH(A33,Tramos!$A$5:$A$112,0))</f>
        <v/>
      </c>
      <c r="E33" s="13">
        <f>INDEX(Tramos!$P$5:$P$112,MATCH(A33,Tramos!$A$5:$A$112,0))</f>
        <v/>
      </c>
      <c r="F33" s="11">
        <f>INDEX(Tramos!$X$5:$X$112,MATCH(A33,Tramos!$A$5:$A$112,0))</f>
        <v/>
      </c>
      <c r="G33" s="13">
        <f>SUM(F$27:F33)</f>
        <v/>
      </c>
    </row>
    <row r="34">
      <c r="A34" s="4" t="inlineStr">
        <is>
          <t>DL1</t>
        </is>
      </c>
      <c r="B34" s="4">
        <f>INDEX(Tramos!$B$5:$B$112,MATCH(A34,Tramos!$A$5:$A$112,0))</f>
        <v/>
      </c>
      <c r="C34" s="11">
        <f>INDEX(Tramos!$K$5:$K$112,MATCH(A34,Tramos!$A$5:$A$112,0))</f>
        <v/>
      </c>
      <c r="D34" s="4">
        <f>INDEX(Tramos!$N$5:$N$112,MATCH(A34,Tramos!$A$5:$A$112,0))</f>
        <v/>
      </c>
      <c r="E34" s="13">
        <f>INDEX(Tramos!$P$5:$P$112,MATCH(A34,Tramos!$A$5:$A$112,0))</f>
        <v/>
      </c>
      <c r="F34" s="11">
        <f>INDEX(Tramos!$X$5:$X$112,MATCH(A34,Tramos!$A$5:$A$112,0))</f>
        <v/>
      </c>
      <c r="G34" s="13">
        <f>SUM(F$27:F34)</f>
        <v/>
      </c>
    </row>
    <row r="35">
      <c r="A35" s="4" t="inlineStr">
        <is>
          <t>MDL1</t>
        </is>
      </c>
      <c r="B35" s="4">
        <f>INDEX(Tramos!$B$5:$B$112,MATCH(A35,Tramos!$A$5:$A$112,0))</f>
        <v/>
      </c>
      <c r="C35" s="11">
        <f>INDEX(Tramos!$K$5:$K$112,MATCH(A35,Tramos!$A$5:$A$112,0))</f>
        <v/>
      </c>
      <c r="D35" s="4">
        <f>INDEX(Tramos!$N$5:$N$112,MATCH(A35,Tramos!$A$5:$A$112,0))</f>
        <v/>
      </c>
      <c r="E35" s="13">
        <f>INDEX(Tramos!$P$5:$P$112,MATCH(A35,Tramos!$A$5:$A$112,0))</f>
        <v/>
      </c>
      <c r="F35" s="11">
        <f>INDEX(Tramos!$X$5:$X$112,MATCH(A35,Tramos!$A$5:$A$112,0))</f>
        <v/>
      </c>
      <c r="G35" s="13">
        <f>SUM(F$27:F35)</f>
        <v/>
      </c>
    </row>
    <row r="36">
      <c r="A36" s="4" t="inlineStr">
        <is>
          <t>MDL2</t>
        </is>
      </c>
      <c r="B36" s="4">
        <f>INDEX(Tramos!$B$5:$B$112,MATCH(A36,Tramos!$A$5:$A$112,0))</f>
        <v/>
      </c>
      <c r="C36" s="11">
        <f>INDEX(Tramos!$K$5:$K$112,MATCH(A36,Tramos!$A$5:$A$112,0))</f>
        <v/>
      </c>
      <c r="D36" s="4">
        <f>INDEX(Tramos!$N$5:$N$112,MATCH(A36,Tramos!$A$5:$A$112,0))</f>
        <v/>
      </c>
      <c r="E36" s="13">
        <f>INDEX(Tramos!$P$5:$P$112,MATCH(A36,Tramos!$A$5:$A$112,0))</f>
        <v/>
      </c>
      <c r="F36" s="11">
        <f>INDEX(Tramos!$X$5:$X$112,MATCH(A36,Tramos!$A$5:$A$112,0))</f>
        <v/>
      </c>
      <c r="G36" s="13">
        <f>SUM(F$27:F36)</f>
        <v/>
      </c>
    </row>
    <row r="37">
      <c r="A37" s="4" t="inlineStr">
        <is>
          <t>MDL3</t>
        </is>
      </c>
      <c r="B37" s="4">
        <f>INDEX(Tramos!$B$5:$B$112,MATCH(A37,Tramos!$A$5:$A$112,0))</f>
        <v/>
      </c>
      <c r="C37" s="11">
        <f>INDEX(Tramos!$K$5:$K$112,MATCH(A37,Tramos!$A$5:$A$112,0))</f>
        <v/>
      </c>
      <c r="D37" s="4">
        <f>INDEX(Tramos!$N$5:$N$112,MATCH(A37,Tramos!$A$5:$A$112,0))</f>
        <v/>
      </c>
      <c r="E37" s="13">
        <f>INDEX(Tramos!$P$5:$P$112,MATCH(A37,Tramos!$A$5:$A$112,0))</f>
        <v/>
      </c>
      <c r="F37" s="11">
        <f>INDEX(Tramos!$X$5:$X$112,MATCH(A37,Tramos!$A$5:$A$112,0))</f>
        <v/>
      </c>
      <c r="G37" s="13">
        <f>SUM(F$27:F37)</f>
        <v/>
      </c>
    </row>
    <row r="38">
      <c r="A38" s="4" t="inlineStr">
        <is>
          <t>MDL4</t>
        </is>
      </c>
      <c r="B38" s="4">
        <f>INDEX(Tramos!$B$5:$B$112,MATCH(A38,Tramos!$A$5:$A$112,0))</f>
        <v/>
      </c>
      <c r="C38" s="11">
        <f>INDEX(Tramos!$K$5:$K$112,MATCH(A38,Tramos!$A$5:$A$112,0))</f>
        <v/>
      </c>
      <c r="D38" s="4">
        <f>INDEX(Tramos!$N$5:$N$112,MATCH(A38,Tramos!$A$5:$A$112,0))</f>
        <v/>
      </c>
      <c r="E38" s="13">
        <f>INDEX(Tramos!$P$5:$P$112,MATCH(A38,Tramos!$A$5:$A$112,0))</f>
        <v/>
      </c>
      <c r="F38" s="11">
        <f>INDEX(Tramos!$X$5:$X$112,MATCH(A38,Tramos!$A$5:$A$112,0))</f>
        <v/>
      </c>
      <c r="G38" s="13">
        <f>SUM(F$27:F38)</f>
        <v/>
      </c>
    </row>
    <row r="39">
      <c r="A39" s="4" t="inlineStr">
        <is>
          <t>MDL5</t>
        </is>
      </c>
      <c r="B39" s="4">
        <f>INDEX(Tramos!$B$5:$B$112,MATCH(A39,Tramos!$A$5:$A$112,0))</f>
        <v/>
      </c>
      <c r="C39" s="11">
        <f>INDEX(Tramos!$K$5:$K$112,MATCH(A39,Tramos!$A$5:$A$112,0))</f>
        <v/>
      </c>
      <c r="D39" s="4">
        <f>INDEX(Tramos!$N$5:$N$112,MATCH(A39,Tramos!$A$5:$A$112,0))</f>
        <v/>
      </c>
      <c r="E39" s="13">
        <f>INDEX(Tramos!$P$5:$P$112,MATCH(A39,Tramos!$A$5:$A$112,0))</f>
        <v/>
      </c>
      <c r="F39" s="11">
        <f>INDEX(Tramos!$X$5:$X$112,MATCH(A39,Tramos!$A$5:$A$112,0))</f>
        <v/>
      </c>
      <c r="G39" s="13">
        <f>SUM(F$27:F39)</f>
        <v/>
      </c>
    </row>
    <row r="40">
      <c r="A40" s="4" t="inlineStr">
        <is>
          <t>MDL6</t>
        </is>
      </c>
      <c r="B40" s="4">
        <f>INDEX(Tramos!$B$5:$B$112,MATCH(A40,Tramos!$A$5:$A$112,0))</f>
        <v/>
      </c>
      <c r="C40" s="11">
        <f>INDEX(Tramos!$K$5:$K$112,MATCH(A40,Tramos!$A$5:$A$112,0))</f>
        <v/>
      </c>
      <c r="D40" s="4">
        <f>INDEX(Tramos!$N$5:$N$112,MATCH(A40,Tramos!$A$5:$A$112,0))</f>
        <v/>
      </c>
      <c r="E40" s="13">
        <f>INDEX(Tramos!$P$5:$P$112,MATCH(A40,Tramos!$A$5:$A$112,0))</f>
        <v/>
      </c>
      <c r="F40" s="11">
        <f>INDEX(Tramos!$X$5:$X$112,MATCH(A40,Tramos!$A$5:$A$112,0))</f>
        <v/>
      </c>
      <c r="G40" s="13">
        <f>SUM(F$27:F40)</f>
        <v/>
      </c>
    </row>
    <row r="41">
      <c r="A41" s="4" t="inlineStr">
        <is>
          <t>MDL7</t>
        </is>
      </c>
      <c r="B41" s="4">
        <f>INDEX(Tramos!$B$5:$B$112,MATCH(A41,Tramos!$A$5:$A$112,0))</f>
        <v/>
      </c>
      <c r="C41" s="11">
        <f>INDEX(Tramos!$K$5:$K$112,MATCH(A41,Tramos!$A$5:$A$112,0))</f>
        <v/>
      </c>
      <c r="D41" s="4">
        <f>INDEX(Tramos!$N$5:$N$112,MATCH(A41,Tramos!$A$5:$A$112,0))</f>
        <v/>
      </c>
      <c r="E41" s="13">
        <f>INDEX(Tramos!$P$5:$P$112,MATCH(A41,Tramos!$A$5:$A$112,0))</f>
        <v/>
      </c>
      <c r="F41" s="11">
        <f>INDEX(Tramos!$X$5:$X$112,MATCH(A41,Tramos!$A$5:$A$112,0))</f>
        <v/>
      </c>
      <c r="G41" s="13">
        <f>SUM(F$27:F41)</f>
        <v/>
      </c>
    </row>
    <row r="42">
      <c r="A42" s="4" t="inlineStr">
        <is>
          <t>RL1</t>
        </is>
      </c>
      <c r="B42" s="4">
        <f>INDEX(Tramos!$B$5:$B$112,MATCH(A42,Tramos!$A$5:$A$112,0))</f>
        <v/>
      </c>
      <c r="C42" s="11">
        <f>INDEX(Tramos!$K$5:$K$112,MATCH(A42,Tramos!$A$5:$A$112,0))</f>
        <v/>
      </c>
      <c r="D42" s="4">
        <f>INDEX(Tramos!$N$5:$N$112,MATCH(A42,Tramos!$A$5:$A$112,0))</f>
        <v/>
      </c>
      <c r="E42" s="13">
        <f>INDEX(Tramos!$P$5:$P$112,MATCH(A42,Tramos!$A$5:$A$112,0))</f>
        <v/>
      </c>
      <c r="F42" s="11">
        <f>INDEX(Tramos!$X$5:$X$112,MATCH(A42,Tramos!$A$5:$A$112,0))</f>
        <v/>
      </c>
      <c r="G42" s="13">
        <f>SUM(F$27:F42)</f>
        <v/>
      </c>
    </row>
    <row r="43">
      <c r="A43" s="4" t="inlineStr">
        <is>
          <t>RL2</t>
        </is>
      </c>
      <c r="B43" s="4">
        <f>INDEX(Tramos!$B$5:$B$112,MATCH(A43,Tramos!$A$5:$A$112,0))</f>
        <v/>
      </c>
      <c r="C43" s="11">
        <f>INDEX(Tramos!$K$5:$K$112,MATCH(A43,Tramos!$A$5:$A$112,0))</f>
        <v/>
      </c>
      <c r="D43" s="4">
        <f>INDEX(Tramos!$N$5:$N$112,MATCH(A43,Tramos!$A$5:$A$112,0))</f>
        <v/>
      </c>
      <c r="E43" s="13">
        <f>INDEX(Tramos!$P$5:$P$112,MATCH(A43,Tramos!$A$5:$A$112,0))</f>
        <v/>
      </c>
      <c r="F43" s="11">
        <f>INDEX(Tramos!$X$5:$X$112,MATCH(A43,Tramos!$A$5:$A$112,0))</f>
        <v/>
      </c>
      <c r="G43" s="13">
        <f>SUM(F$27:F43)</f>
        <v/>
      </c>
    </row>
    <row r="44">
      <c r="A44" s="4" t="inlineStr">
        <is>
          <t>RL3</t>
        </is>
      </c>
      <c r="B44" s="4">
        <f>INDEX(Tramos!$B$5:$B$112,MATCH(A44,Tramos!$A$5:$A$112,0))</f>
        <v/>
      </c>
      <c r="C44" s="11">
        <f>INDEX(Tramos!$K$5:$K$112,MATCH(A44,Tramos!$A$5:$A$112,0))</f>
        <v/>
      </c>
      <c r="D44" s="4">
        <f>INDEX(Tramos!$N$5:$N$112,MATCH(A44,Tramos!$A$5:$A$112,0))</f>
        <v/>
      </c>
      <c r="E44" s="13">
        <f>INDEX(Tramos!$P$5:$P$112,MATCH(A44,Tramos!$A$5:$A$112,0))</f>
        <v/>
      </c>
      <c r="F44" s="11">
        <f>INDEX(Tramos!$X$5:$X$112,MATCH(A44,Tramos!$A$5:$A$112,0))</f>
        <v/>
      </c>
      <c r="G44" s="13">
        <f>SUM(F$27:F44)</f>
        <v/>
      </c>
    </row>
    <row r="45">
      <c r="A45" s="4" t="inlineStr">
        <is>
          <t>RL4</t>
        </is>
      </c>
      <c r="B45" s="4">
        <f>INDEX(Tramos!$B$5:$B$112,MATCH(A45,Tramos!$A$5:$A$112,0))</f>
        <v/>
      </c>
      <c r="C45" s="11">
        <f>INDEX(Tramos!$K$5:$K$112,MATCH(A45,Tramos!$A$5:$A$112,0))</f>
        <v/>
      </c>
      <c r="D45" s="4">
        <f>INDEX(Tramos!$N$5:$N$112,MATCH(A45,Tramos!$A$5:$A$112,0))</f>
        <v/>
      </c>
      <c r="E45" s="13">
        <f>INDEX(Tramos!$P$5:$P$112,MATCH(A45,Tramos!$A$5:$A$112,0))</f>
        <v/>
      </c>
      <c r="F45" s="11">
        <f>INDEX(Tramos!$X$5:$X$112,MATCH(A45,Tramos!$A$5:$A$112,0))</f>
        <v/>
      </c>
      <c r="G45" s="13">
        <f>SUM(F$27:F45)</f>
        <v/>
      </c>
    </row>
    <row r="46">
      <c r="A46" s="4" t="inlineStr">
        <is>
          <t>RL5</t>
        </is>
      </c>
      <c r="B46" s="4">
        <f>INDEX(Tramos!$B$5:$B$112,MATCH(A46,Tramos!$A$5:$A$112,0))</f>
        <v/>
      </c>
      <c r="C46" s="11">
        <f>INDEX(Tramos!$K$5:$K$112,MATCH(A46,Tramos!$A$5:$A$112,0))</f>
        <v/>
      </c>
      <c r="D46" s="4">
        <f>INDEX(Tramos!$N$5:$N$112,MATCH(A46,Tramos!$A$5:$A$112,0))</f>
        <v/>
      </c>
      <c r="E46" s="13">
        <f>INDEX(Tramos!$P$5:$P$112,MATCH(A46,Tramos!$A$5:$A$112,0))</f>
        <v/>
      </c>
      <c r="F46" s="11">
        <f>INDEX(Tramos!$X$5:$X$112,MATCH(A46,Tramos!$A$5:$A$112,0))</f>
        <v/>
      </c>
      <c r="G46" s="13">
        <f>SUM(F$27:F46)</f>
        <v/>
      </c>
    </row>
    <row r="47">
      <c r="A47" s="4" t="inlineStr">
        <is>
          <t>H1</t>
        </is>
      </c>
      <c r="B47" s="4">
        <f>INDEX(Tramos!$B$5:$B$112,MATCH(A47,Tramos!$A$5:$A$112,0))</f>
        <v/>
      </c>
      <c r="C47" s="11">
        <f>INDEX(Tramos!$K$5:$K$112,MATCH(A47,Tramos!$A$5:$A$112,0))</f>
        <v/>
      </c>
      <c r="D47" s="4">
        <f>INDEX(Tramos!$N$5:$N$112,MATCH(A47,Tramos!$A$5:$A$112,0))</f>
        <v/>
      </c>
      <c r="E47" s="13">
        <f>INDEX(Tramos!$P$5:$P$112,MATCH(A47,Tramos!$A$5:$A$112,0))</f>
        <v/>
      </c>
      <c r="F47" s="11">
        <f>INDEX(Tramos!$X$5:$X$112,MATCH(A47,Tramos!$A$5:$A$112,0))</f>
        <v/>
      </c>
      <c r="G47" s="13">
        <f>SUM(F$27:F47)</f>
        <v/>
      </c>
    </row>
    <row r="48">
      <c r="A48" s="4" t="inlineStr">
        <is>
          <t>H2</t>
        </is>
      </c>
      <c r="B48" s="4">
        <f>INDEX(Tramos!$B$5:$B$112,MATCH(A48,Tramos!$A$5:$A$112,0))</f>
        <v/>
      </c>
      <c r="C48" s="11">
        <f>INDEX(Tramos!$K$5:$K$112,MATCH(A48,Tramos!$A$5:$A$112,0))</f>
        <v/>
      </c>
      <c r="D48" s="4">
        <f>INDEX(Tramos!$N$5:$N$112,MATCH(A48,Tramos!$A$5:$A$112,0))</f>
        <v/>
      </c>
      <c r="E48" s="13">
        <f>INDEX(Tramos!$P$5:$P$112,MATCH(A48,Tramos!$A$5:$A$112,0))</f>
        <v/>
      </c>
      <c r="F48" s="11">
        <f>INDEX(Tramos!$X$5:$X$112,MATCH(A48,Tramos!$A$5:$A$112,0))</f>
        <v/>
      </c>
      <c r="G48" s="13">
        <f>SUM(F$27:F48)</f>
        <v/>
      </c>
    </row>
    <row r="49">
      <c r="A49" s="4" t="inlineStr">
        <is>
          <t>H3</t>
        </is>
      </c>
      <c r="B49" s="4">
        <f>INDEX(Tramos!$B$5:$B$112,MATCH(A49,Tramos!$A$5:$A$112,0))</f>
        <v/>
      </c>
      <c r="C49" s="11">
        <f>INDEX(Tramos!$K$5:$K$112,MATCH(A49,Tramos!$A$5:$A$112,0))</f>
        <v/>
      </c>
      <c r="D49" s="4">
        <f>INDEX(Tramos!$N$5:$N$112,MATCH(A49,Tramos!$A$5:$A$112,0))</f>
        <v/>
      </c>
      <c r="E49" s="13">
        <f>INDEX(Tramos!$P$5:$P$112,MATCH(A49,Tramos!$A$5:$A$112,0))</f>
        <v/>
      </c>
      <c r="F49" s="11">
        <f>INDEX(Tramos!$X$5:$X$112,MATCH(A49,Tramos!$A$5:$A$112,0))</f>
        <v/>
      </c>
      <c r="G49" s="13">
        <f>SUM(F$27:F49)</f>
        <v/>
      </c>
    </row>
    <row r="50">
      <c r="A50" s="4" t="inlineStr">
        <is>
          <t>H4</t>
        </is>
      </c>
      <c r="B50" s="4">
        <f>INDEX(Tramos!$B$5:$B$112,MATCH(A50,Tramos!$A$5:$A$112,0))</f>
        <v/>
      </c>
      <c r="C50" s="11">
        <f>INDEX(Tramos!$K$5:$K$112,MATCH(A50,Tramos!$A$5:$A$112,0))</f>
        <v/>
      </c>
      <c r="D50" s="4">
        <f>INDEX(Tramos!$N$5:$N$112,MATCH(A50,Tramos!$A$5:$A$112,0))</f>
        <v/>
      </c>
      <c r="E50" s="13">
        <f>INDEX(Tramos!$P$5:$P$112,MATCH(A50,Tramos!$A$5:$A$112,0))</f>
        <v/>
      </c>
      <c r="F50" s="11">
        <f>INDEX(Tramos!$X$5:$X$112,MATCH(A50,Tramos!$A$5:$A$112,0))</f>
        <v/>
      </c>
      <c r="G50" s="13">
        <f>SUM(F$27:F50)</f>
        <v/>
      </c>
    </row>
    <row r="53">
      <c r="A53" s="3" t="inlineStr">
        <is>
          <t>R2 AF directo O · P7 · bañera</t>
        </is>
      </c>
      <c r="B53" s="3" t="inlineStr">
        <is>
          <t>Descripción</t>
        </is>
      </c>
      <c r="C53" s="3" t="inlineStr">
        <is>
          <t>Qc (l/s)</t>
        </is>
      </c>
      <c r="D53" s="3" t="inlineStr">
        <is>
          <t>Designación</t>
        </is>
      </c>
      <c r="E53" s="3" t="inlineStr">
        <is>
          <t>v (m/s)</t>
        </is>
      </c>
      <c r="F53" s="3" t="inlineStr">
        <is>
          <t>hf+hm (mca)</t>
        </is>
      </c>
      <c r="G53" s="3" t="inlineStr">
        <is>
          <t>Σ acumulada (mca)</t>
        </is>
      </c>
    </row>
    <row r="54">
      <c r="A54" s="4" t="inlineStr">
        <is>
          <t>G1</t>
        </is>
      </c>
      <c r="B54" s="4">
        <f>INDEX(Tramos!$B$5:$B$112,MATCH(A54,Tramos!$A$5:$A$112,0))</f>
        <v/>
      </c>
      <c r="C54" s="11">
        <f>INDEX(Tramos!$K$5:$K$112,MATCH(A54,Tramos!$A$5:$A$112,0))</f>
        <v/>
      </c>
      <c r="D54" s="4">
        <f>INDEX(Tramos!$N$5:$N$112,MATCH(A54,Tramos!$A$5:$A$112,0))</f>
        <v/>
      </c>
      <c r="E54" s="13">
        <f>INDEX(Tramos!$P$5:$P$112,MATCH(A54,Tramos!$A$5:$A$112,0))</f>
        <v/>
      </c>
      <c r="F54" s="11">
        <f>INDEX(Tramos!$X$5:$X$112,MATCH(A54,Tramos!$A$5:$A$112,0))</f>
        <v/>
      </c>
      <c r="G54" s="13">
        <f>SUM(F$54:F54)</f>
        <v/>
      </c>
    </row>
    <row r="55">
      <c r="A55" s="4" t="inlineStr">
        <is>
          <t>E1</t>
        </is>
      </c>
      <c r="B55" s="4">
        <f>INDEX(Tramos!$B$5:$B$112,MATCH(A55,Tramos!$A$5:$A$112,0))</f>
        <v/>
      </c>
      <c r="C55" s="11">
        <f>INDEX(Tramos!$K$5:$K$112,MATCH(A55,Tramos!$A$5:$A$112,0))</f>
        <v/>
      </c>
      <c r="D55" s="4">
        <f>INDEX(Tramos!$N$5:$N$112,MATCH(A55,Tramos!$A$5:$A$112,0))</f>
        <v/>
      </c>
      <c r="E55" s="13">
        <f>INDEX(Tramos!$P$5:$P$112,MATCH(A55,Tramos!$A$5:$A$112,0))</f>
        <v/>
      </c>
      <c r="F55" s="11">
        <f>INDEX(Tramos!$X$5:$X$112,MATCH(A55,Tramos!$A$5:$A$112,0))</f>
        <v/>
      </c>
      <c r="G55" s="13">
        <f>SUM(F$54:F55)</f>
        <v/>
      </c>
    </row>
    <row r="56">
      <c r="A56" s="4" t="inlineStr">
        <is>
          <t>E2</t>
        </is>
      </c>
      <c r="B56" s="4">
        <f>INDEX(Tramos!$B$5:$B$112,MATCH(A56,Tramos!$A$5:$A$112,0))</f>
        <v/>
      </c>
      <c r="C56" s="11">
        <f>INDEX(Tramos!$K$5:$K$112,MATCH(A56,Tramos!$A$5:$A$112,0))</f>
        <v/>
      </c>
      <c r="D56" s="4">
        <f>INDEX(Tramos!$N$5:$N$112,MATCH(A56,Tramos!$A$5:$A$112,0))</f>
        <v/>
      </c>
      <c r="E56" s="13">
        <f>INDEX(Tramos!$P$5:$P$112,MATCH(A56,Tramos!$A$5:$A$112,0))</f>
        <v/>
      </c>
      <c r="F56" s="11">
        <f>INDEX(Tramos!$X$5:$X$112,MATCH(A56,Tramos!$A$5:$A$112,0))</f>
        <v/>
      </c>
      <c r="G56" s="13">
        <f>SUM(F$54:F56)</f>
        <v/>
      </c>
    </row>
    <row r="57">
      <c r="A57" s="4" t="inlineStr">
        <is>
          <t>E3</t>
        </is>
      </c>
      <c r="B57" s="4">
        <f>INDEX(Tramos!$B$5:$B$112,MATCH(A57,Tramos!$A$5:$A$112,0))</f>
        <v/>
      </c>
      <c r="C57" s="11">
        <f>INDEX(Tramos!$K$5:$K$112,MATCH(A57,Tramos!$A$5:$A$112,0))</f>
        <v/>
      </c>
      <c r="D57" s="4">
        <f>INDEX(Tramos!$N$5:$N$112,MATCH(A57,Tramos!$A$5:$A$112,0))</f>
        <v/>
      </c>
      <c r="E57" s="13">
        <f>INDEX(Tramos!$P$5:$P$112,MATCH(A57,Tramos!$A$5:$A$112,0))</f>
        <v/>
      </c>
      <c r="F57" s="11">
        <f>INDEX(Tramos!$X$5:$X$112,MATCH(A57,Tramos!$A$5:$A$112,0))</f>
        <v/>
      </c>
      <c r="G57" s="13">
        <f>SUM(F$54:F57)</f>
        <v/>
      </c>
    </row>
    <row r="58">
      <c r="A58" s="4" t="inlineStr">
        <is>
          <t>G2</t>
        </is>
      </c>
      <c r="B58" s="4">
        <f>INDEX(Tramos!$B$5:$B$112,MATCH(A58,Tramos!$A$5:$A$112,0))</f>
        <v/>
      </c>
      <c r="C58" s="11">
        <f>INDEX(Tramos!$K$5:$K$112,MATCH(A58,Tramos!$A$5:$A$112,0))</f>
        <v/>
      </c>
      <c r="D58" s="4">
        <f>INDEX(Tramos!$N$5:$N$112,MATCH(A58,Tramos!$A$5:$A$112,0))</f>
        <v/>
      </c>
      <c r="E58" s="13">
        <f>INDEX(Tramos!$P$5:$P$112,MATCH(A58,Tramos!$A$5:$A$112,0))</f>
        <v/>
      </c>
      <c r="F58" s="11">
        <f>INDEX(Tramos!$X$5:$X$112,MATCH(A58,Tramos!$A$5:$A$112,0))</f>
        <v/>
      </c>
      <c r="G58" s="13">
        <f>SUM(F$54:F58)</f>
        <v/>
      </c>
    </row>
    <row r="59">
      <c r="A59" s="4" t="inlineStr">
        <is>
          <t>E4</t>
        </is>
      </c>
      <c r="B59" s="4">
        <f>INDEX(Tramos!$B$5:$B$112,MATCH(A59,Tramos!$A$5:$A$112,0))</f>
        <v/>
      </c>
      <c r="C59" s="11">
        <f>INDEX(Tramos!$K$5:$K$112,MATCH(A59,Tramos!$A$5:$A$112,0))</f>
        <v/>
      </c>
      <c r="D59" s="4">
        <f>INDEX(Tramos!$N$5:$N$112,MATCH(A59,Tramos!$A$5:$A$112,0))</f>
        <v/>
      </c>
      <c r="E59" s="13">
        <f>INDEX(Tramos!$P$5:$P$112,MATCH(A59,Tramos!$A$5:$A$112,0))</f>
        <v/>
      </c>
      <c r="F59" s="11">
        <f>INDEX(Tramos!$X$5:$X$112,MATCH(A59,Tramos!$A$5:$A$112,0))</f>
        <v/>
      </c>
      <c r="G59" s="13">
        <f>SUM(F$54:F59)</f>
        <v/>
      </c>
    </row>
    <row r="60">
      <c r="A60" s="4" t="inlineStr">
        <is>
          <t>D0</t>
        </is>
      </c>
      <c r="B60" s="4">
        <f>INDEX(Tramos!$B$5:$B$112,MATCH(A60,Tramos!$A$5:$A$112,0))</f>
        <v/>
      </c>
      <c r="C60" s="11">
        <f>INDEX(Tramos!$K$5:$K$112,MATCH(A60,Tramos!$A$5:$A$112,0))</f>
        <v/>
      </c>
      <c r="D60" s="4">
        <f>INDEX(Tramos!$N$5:$N$112,MATCH(A60,Tramos!$A$5:$A$112,0))</f>
        <v/>
      </c>
      <c r="E60" s="13">
        <f>INDEX(Tramos!$P$5:$P$112,MATCH(A60,Tramos!$A$5:$A$112,0))</f>
        <v/>
      </c>
      <c r="F60" s="11">
        <f>INDEX(Tramos!$X$5:$X$112,MATCH(A60,Tramos!$A$5:$A$112,0))</f>
        <v/>
      </c>
      <c r="G60" s="13">
        <f>SUM(F$54:F60)</f>
        <v/>
      </c>
    </row>
    <row r="61">
      <c r="A61" s="4" t="inlineStr">
        <is>
          <t>DL1</t>
        </is>
      </c>
      <c r="B61" s="4">
        <f>INDEX(Tramos!$B$5:$B$112,MATCH(A61,Tramos!$A$5:$A$112,0))</f>
        <v/>
      </c>
      <c r="C61" s="11">
        <f>INDEX(Tramos!$K$5:$K$112,MATCH(A61,Tramos!$A$5:$A$112,0))</f>
        <v/>
      </c>
      <c r="D61" s="4">
        <f>INDEX(Tramos!$N$5:$N$112,MATCH(A61,Tramos!$A$5:$A$112,0))</f>
        <v/>
      </c>
      <c r="E61" s="13">
        <f>INDEX(Tramos!$P$5:$P$112,MATCH(A61,Tramos!$A$5:$A$112,0))</f>
        <v/>
      </c>
      <c r="F61" s="11">
        <f>INDEX(Tramos!$X$5:$X$112,MATCH(A61,Tramos!$A$5:$A$112,0))</f>
        <v/>
      </c>
      <c r="G61" s="13">
        <f>SUM(F$54:F61)</f>
        <v/>
      </c>
    </row>
    <row r="62">
      <c r="A62" s="4" t="inlineStr">
        <is>
          <t>MDL1</t>
        </is>
      </c>
      <c r="B62" s="4">
        <f>INDEX(Tramos!$B$5:$B$112,MATCH(A62,Tramos!$A$5:$A$112,0))</f>
        <v/>
      </c>
      <c r="C62" s="11">
        <f>INDEX(Tramos!$K$5:$K$112,MATCH(A62,Tramos!$A$5:$A$112,0))</f>
        <v/>
      </c>
      <c r="D62" s="4">
        <f>INDEX(Tramos!$N$5:$N$112,MATCH(A62,Tramos!$A$5:$A$112,0))</f>
        <v/>
      </c>
      <c r="E62" s="13">
        <f>INDEX(Tramos!$P$5:$P$112,MATCH(A62,Tramos!$A$5:$A$112,0))</f>
        <v/>
      </c>
      <c r="F62" s="11">
        <f>INDEX(Tramos!$X$5:$X$112,MATCH(A62,Tramos!$A$5:$A$112,0))</f>
        <v/>
      </c>
      <c r="G62" s="13">
        <f>SUM(F$54:F62)</f>
        <v/>
      </c>
    </row>
    <row r="63">
      <c r="A63" s="4" t="inlineStr">
        <is>
          <t>MDL2</t>
        </is>
      </c>
      <c r="B63" s="4">
        <f>INDEX(Tramos!$B$5:$B$112,MATCH(A63,Tramos!$A$5:$A$112,0))</f>
        <v/>
      </c>
      <c r="C63" s="11">
        <f>INDEX(Tramos!$K$5:$K$112,MATCH(A63,Tramos!$A$5:$A$112,0))</f>
        <v/>
      </c>
      <c r="D63" s="4">
        <f>INDEX(Tramos!$N$5:$N$112,MATCH(A63,Tramos!$A$5:$A$112,0))</f>
        <v/>
      </c>
      <c r="E63" s="13">
        <f>INDEX(Tramos!$P$5:$P$112,MATCH(A63,Tramos!$A$5:$A$112,0))</f>
        <v/>
      </c>
      <c r="F63" s="11">
        <f>INDEX(Tramos!$X$5:$X$112,MATCH(A63,Tramos!$A$5:$A$112,0))</f>
        <v/>
      </c>
      <c r="G63" s="13">
        <f>SUM(F$54:F63)</f>
        <v/>
      </c>
    </row>
    <row r="64">
      <c r="A64" s="4" t="inlineStr">
        <is>
          <t>MDL3</t>
        </is>
      </c>
      <c r="B64" s="4">
        <f>INDEX(Tramos!$B$5:$B$112,MATCH(A64,Tramos!$A$5:$A$112,0))</f>
        <v/>
      </c>
      <c r="C64" s="11">
        <f>INDEX(Tramos!$K$5:$K$112,MATCH(A64,Tramos!$A$5:$A$112,0))</f>
        <v/>
      </c>
      <c r="D64" s="4">
        <f>INDEX(Tramos!$N$5:$N$112,MATCH(A64,Tramos!$A$5:$A$112,0))</f>
        <v/>
      </c>
      <c r="E64" s="13">
        <f>INDEX(Tramos!$P$5:$P$112,MATCH(A64,Tramos!$A$5:$A$112,0))</f>
        <v/>
      </c>
      <c r="F64" s="11">
        <f>INDEX(Tramos!$X$5:$X$112,MATCH(A64,Tramos!$A$5:$A$112,0))</f>
        <v/>
      </c>
      <c r="G64" s="13">
        <f>SUM(F$54:F64)</f>
        <v/>
      </c>
    </row>
    <row r="65">
      <c r="A65" s="4" t="inlineStr">
        <is>
          <t>MDL4</t>
        </is>
      </c>
      <c r="B65" s="4">
        <f>INDEX(Tramos!$B$5:$B$112,MATCH(A65,Tramos!$A$5:$A$112,0))</f>
        <v/>
      </c>
      <c r="C65" s="11">
        <f>INDEX(Tramos!$K$5:$K$112,MATCH(A65,Tramos!$A$5:$A$112,0))</f>
        <v/>
      </c>
      <c r="D65" s="4">
        <f>INDEX(Tramos!$N$5:$N$112,MATCH(A65,Tramos!$A$5:$A$112,0))</f>
        <v/>
      </c>
      <c r="E65" s="13">
        <f>INDEX(Tramos!$P$5:$P$112,MATCH(A65,Tramos!$A$5:$A$112,0))</f>
        <v/>
      </c>
      <c r="F65" s="11">
        <f>INDEX(Tramos!$X$5:$X$112,MATCH(A65,Tramos!$A$5:$A$112,0))</f>
        <v/>
      </c>
      <c r="G65" s="13">
        <f>SUM(F$54:F65)</f>
        <v/>
      </c>
    </row>
    <row r="66">
      <c r="A66" s="4" t="inlineStr">
        <is>
          <t>MDL5</t>
        </is>
      </c>
      <c r="B66" s="4">
        <f>INDEX(Tramos!$B$5:$B$112,MATCH(A66,Tramos!$A$5:$A$112,0))</f>
        <v/>
      </c>
      <c r="C66" s="11">
        <f>INDEX(Tramos!$K$5:$K$112,MATCH(A66,Tramos!$A$5:$A$112,0))</f>
        <v/>
      </c>
      <c r="D66" s="4">
        <f>INDEX(Tramos!$N$5:$N$112,MATCH(A66,Tramos!$A$5:$A$112,0))</f>
        <v/>
      </c>
      <c r="E66" s="13">
        <f>INDEX(Tramos!$P$5:$P$112,MATCH(A66,Tramos!$A$5:$A$112,0))</f>
        <v/>
      </c>
      <c r="F66" s="11">
        <f>INDEX(Tramos!$X$5:$X$112,MATCH(A66,Tramos!$A$5:$A$112,0))</f>
        <v/>
      </c>
      <c r="G66" s="13">
        <f>SUM(F$54:F66)</f>
        <v/>
      </c>
    </row>
    <row r="67">
      <c r="A67" s="4" t="inlineStr">
        <is>
          <t>MDL6</t>
        </is>
      </c>
      <c r="B67" s="4">
        <f>INDEX(Tramos!$B$5:$B$112,MATCH(A67,Tramos!$A$5:$A$112,0))</f>
        <v/>
      </c>
      <c r="C67" s="11">
        <f>INDEX(Tramos!$K$5:$K$112,MATCH(A67,Tramos!$A$5:$A$112,0))</f>
        <v/>
      </c>
      <c r="D67" s="4">
        <f>INDEX(Tramos!$N$5:$N$112,MATCH(A67,Tramos!$A$5:$A$112,0))</f>
        <v/>
      </c>
      <c r="E67" s="13">
        <f>INDEX(Tramos!$P$5:$P$112,MATCH(A67,Tramos!$A$5:$A$112,0))</f>
        <v/>
      </c>
      <c r="F67" s="11">
        <f>INDEX(Tramos!$X$5:$X$112,MATCH(A67,Tramos!$A$5:$A$112,0))</f>
        <v/>
      </c>
      <c r="G67" s="13">
        <f>SUM(F$54:F67)</f>
        <v/>
      </c>
    </row>
    <row r="68">
      <c r="A68" s="4" t="inlineStr">
        <is>
          <t>MDL7</t>
        </is>
      </c>
      <c r="B68" s="4">
        <f>INDEX(Tramos!$B$5:$B$112,MATCH(A68,Tramos!$A$5:$A$112,0))</f>
        <v/>
      </c>
      <c r="C68" s="11">
        <f>INDEX(Tramos!$K$5:$K$112,MATCH(A68,Tramos!$A$5:$A$112,0))</f>
        <v/>
      </c>
      <c r="D68" s="4">
        <f>INDEX(Tramos!$N$5:$N$112,MATCH(A68,Tramos!$A$5:$A$112,0))</f>
        <v/>
      </c>
      <c r="E68" s="13">
        <f>INDEX(Tramos!$P$5:$P$112,MATCH(A68,Tramos!$A$5:$A$112,0))</f>
        <v/>
      </c>
      <c r="F68" s="11">
        <f>INDEX(Tramos!$X$5:$X$112,MATCH(A68,Tramos!$A$5:$A$112,0))</f>
        <v/>
      </c>
      <c r="G68" s="13">
        <f>SUM(F$54:F68)</f>
        <v/>
      </c>
    </row>
    <row r="69">
      <c r="A69" s="4" t="inlineStr">
        <is>
          <t>RL1</t>
        </is>
      </c>
      <c r="B69" s="4">
        <f>INDEX(Tramos!$B$5:$B$112,MATCH(A69,Tramos!$A$5:$A$112,0))</f>
        <v/>
      </c>
      <c r="C69" s="11">
        <f>INDEX(Tramos!$K$5:$K$112,MATCH(A69,Tramos!$A$5:$A$112,0))</f>
        <v/>
      </c>
      <c r="D69" s="4">
        <f>INDEX(Tramos!$N$5:$N$112,MATCH(A69,Tramos!$A$5:$A$112,0))</f>
        <v/>
      </c>
      <c r="E69" s="13">
        <f>INDEX(Tramos!$P$5:$P$112,MATCH(A69,Tramos!$A$5:$A$112,0))</f>
        <v/>
      </c>
      <c r="F69" s="11">
        <f>INDEX(Tramos!$X$5:$X$112,MATCH(A69,Tramos!$A$5:$A$112,0))</f>
        <v/>
      </c>
      <c r="G69" s="13">
        <f>SUM(F$54:F69)</f>
        <v/>
      </c>
    </row>
    <row r="70">
      <c r="A70" s="4" t="inlineStr">
        <is>
          <t>RL2</t>
        </is>
      </c>
      <c r="B70" s="4">
        <f>INDEX(Tramos!$B$5:$B$112,MATCH(A70,Tramos!$A$5:$A$112,0))</f>
        <v/>
      </c>
      <c r="C70" s="11">
        <f>INDEX(Tramos!$K$5:$K$112,MATCH(A70,Tramos!$A$5:$A$112,0))</f>
        <v/>
      </c>
      <c r="D70" s="4">
        <f>INDEX(Tramos!$N$5:$N$112,MATCH(A70,Tramos!$A$5:$A$112,0))</f>
        <v/>
      </c>
      <c r="E70" s="13">
        <f>INDEX(Tramos!$P$5:$P$112,MATCH(A70,Tramos!$A$5:$A$112,0))</f>
        <v/>
      </c>
      <c r="F70" s="11">
        <f>INDEX(Tramos!$X$5:$X$112,MATCH(A70,Tramos!$A$5:$A$112,0))</f>
        <v/>
      </c>
      <c r="G70" s="13">
        <f>SUM(F$54:F70)</f>
        <v/>
      </c>
    </row>
    <row r="71">
      <c r="A71" s="4" t="inlineStr">
        <is>
          <t>RL3</t>
        </is>
      </c>
      <c r="B71" s="4">
        <f>INDEX(Tramos!$B$5:$B$112,MATCH(A71,Tramos!$A$5:$A$112,0))</f>
        <v/>
      </c>
      <c r="C71" s="11">
        <f>INDEX(Tramos!$K$5:$K$112,MATCH(A71,Tramos!$A$5:$A$112,0))</f>
        <v/>
      </c>
      <c r="D71" s="4">
        <f>INDEX(Tramos!$N$5:$N$112,MATCH(A71,Tramos!$A$5:$A$112,0))</f>
        <v/>
      </c>
      <c r="E71" s="13">
        <f>INDEX(Tramos!$P$5:$P$112,MATCH(A71,Tramos!$A$5:$A$112,0))</f>
        <v/>
      </c>
      <c r="F71" s="11">
        <f>INDEX(Tramos!$X$5:$X$112,MATCH(A71,Tramos!$A$5:$A$112,0))</f>
        <v/>
      </c>
      <c r="G71" s="13">
        <f>SUM(F$54:F71)</f>
        <v/>
      </c>
    </row>
    <row r="72">
      <c r="A72" s="4" t="inlineStr">
        <is>
          <t>RL4</t>
        </is>
      </c>
      <c r="B72" s="4">
        <f>INDEX(Tramos!$B$5:$B$112,MATCH(A72,Tramos!$A$5:$A$112,0))</f>
        <v/>
      </c>
      <c r="C72" s="11">
        <f>INDEX(Tramos!$K$5:$K$112,MATCH(A72,Tramos!$A$5:$A$112,0))</f>
        <v/>
      </c>
      <c r="D72" s="4">
        <f>INDEX(Tramos!$N$5:$N$112,MATCH(A72,Tramos!$A$5:$A$112,0))</f>
        <v/>
      </c>
      <c r="E72" s="13">
        <f>INDEX(Tramos!$P$5:$P$112,MATCH(A72,Tramos!$A$5:$A$112,0))</f>
        <v/>
      </c>
      <c r="F72" s="11">
        <f>INDEX(Tramos!$X$5:$X$112,MATCH(A72,Tramos!$A$5:$A$112,0))</f>
        <v/>
      </c>
      <c r="G72" s="13">
        <f>SUM(F$54:F72)</f>
        <v/>
      </c>
    </row>
    <row r="73">
      <c r="A73" s="4" t="inlineStr">
        <is>
          <t>RL5</t>
        </is>
      </c>
      <c r="B73" s="4">
        <f>INDEX(Tramos!$B$5:$B$112,MATCH(A73,Tramos!$A$5:$A$112,0))</f>
        <v/>
      </c>
      <c r="C73" s="11">
        <f>INDEX(Tramos!$K$5:$K$112,MATCH(A73,Tramos!$A$5:$A$112,0))</f>
        <v/>
      </c>
      <c r="D73" s="4">
        <f>INDEX(Tramos!$N$5:$N$112,MATCH(A73,Tramos!$A$5:$A$112,0))</f>
        <v/>
      </c>
      <c r="E73" s="13">
        <f>INDEX(Tramos!$P$5:$P$112,MATCH(A73,Tramos!$A$5:$A$112,0))</f>
        <v/>
      </c>
      <c r="F73" s="11">
        <f>INDEX(Tramos!$X$5:$X$112,MATCH(A73,Tramos!$A$5:$A$112,0))</f>
        <v/>
      </c>
      <c r="G73" s="13">
        <f>SUM(F$54:F73)</f>
        <v/>
      </c>
    </row>
    <row r="74">
      <c r="A74" s="4" t="inlineStr">
        <is>
          <t>H1</t>
        </is>
      </c>
      <c r="B74" s="4">
        <f>INDEX(Tramos!$B$5:$B$112,MATCH(A74,Tramos!$A$5:$A$112,0))</f>
        <v/>
      </c>
      <c r="C74" s="11">
        <f>INDEX(Tramos!$K$5:$K$112,MATCH(A74,Tramos!$A$5:$A$112,0))</f>
        <v/>
      </c>
      <c r="D74" s="4">
        <f>INDEX(Tramos!$N$5:$N$112,MATCH(A74,Tramos!$A$5:$A$112,0))</f>
        <v/>
      </c>
      <c r="E74" s="13">
        <f>INDEX(Tramos!$P$5:$P$112,MATCH(A74,Tramos!$A$5:$A$112,0))</f>
        <v/>
      </c>
      <c r="F74" s="11">
        <f>INDEX(Tramos!$X$5:$X$112,MATCH(A74,Tramos!$A$5:$A$112,0))</f>
        <v/>
      </c>
      <c r="G74" s="13">
        <f>SUM(F$54:F74)</f>
        <v/>
      </c>
    </row>
    <row r="75">
      <c r="A75" s="4" t="inlineStr">
        <is>
          <t>H5</t>
        </is>
      </c>
      <c r="B75" s="4">
        <f>INDEX(Tramos!$B$5:$B$112,MATCH(A75,Tramos!$A$5:$A$112,0))</f>
        <v/>
      </c>
      <c r="C75" s="11">
        <f>INDEX(Tramos!$K$5:$K$112,MATCH(A75,Tramos!$A$5:$A$112,0))</f>
        <v/>
      </c>
      <c r="D75" s="4">
        <f>INDEX(Tramos!$N$5:$N$112,MATCH(A75,Tramos!$A$5:$A$112,0))</f>
        <v/>
      </c>
      <c r="E75" s="13">
        <f>INDEX(Tramos!$P$5:$P$112,MATCH(A75,Tramos!$A$5:$A$112,0))</f>
        <v/>
      </c>
      <c r="F75" s="11">
        <f>INDEX(Tramos!$X$5:$X$112,MATCH(A75,Tramos!$A$5:$A$112,0))</f>
        <v/>
      </c>
      <c r="G75" s="13">
        <f>SUM(F$54:F75)</f>
        <v/>
      </c>
    </row>
    <row r="78">
      <c r="A78" s="3" t="inlineStr">
        <is>
          <t>R3 AF directo E · P7 · lavabo</t>
        </is>
      </c>
      <c r="B78" s="3" t="inlineStr">
        <is>
          <t>Descripción</t>
        </is>
      </c>
      <c r="C78" s="3" t="inlineStr">
        <is>
          <t>Qc (l/s)</t>
        </is>
      </c>
      <c r="D78" s="3" t="inlineStr">
        <is>
          <t>Designación</t>
        </is>
      </c>
      <c r="E78" s="3" t="inlineStr">
        <is>
          <t>v (m/s)</t>
        </is>
      </c>
      <c r="F78" s="3" t="inlineStr">
        <is>
          <t>hf+hm (mca)</t>
        </is>
      </c>
      <c r="G78" s="3" t="inlineStr">
        <is>
          <t>Σ acumulada (mca)</t>
        </is>
      </c>
    </row>
    <row r="79">
      <c r="A79" s="4" t="inlineStr">
        <is>
          <t>G1</t>
        </is>
      </c>
      <c r="B79" s="4">
        <f>INDEX(Tramos!$B$5:$B$112,MATCH(A79,Tramos!$A$5:$A$112,0))</f>
        <v/>
      </c>
      <c r="C79" s="11">
        <f>INDEX(Tramos!$K$5:$K$112,MATCH(A79,Tramos!$A$5:$A$112,0))</f>
        <v/>
      </c>
      <c r="D79" s="4">
        <f>INDEX(Tramos!$N$5:$N$112,MATCH(A79,Tramos!$A$5:$A$112,0))</f>
        <v/>
      </c>
      <c r="E79" s="13">
        <f>INDEX(Tramos!$P$5:$P$112,MATCH(A79,Tramos!$A$5:$A$112,0))</f>
        <v/>
      </c>
      <c r="F79" s="11">
        <f>INDEX(Tramos!$X$5:$X$112,MATCH(A79,Tramos!$A$5:$A$112,0))</f>
        <v/>
      </c>
      <c r="G79" s="13">
        <f>SUM(F$79:F79)</f>
        <v/>
      </c>
    </row>
    <row r="80">
      <c r="A80" s="4" t="inlineStr">
        <is>
          <t>E1</t>
        </is>
      </c>
      <c r="B80" s="4">
        <f>INDEX(Tramos!$B$5:$B$112,MATCH(A80,Tramos!$A$5:$A$112,0))</f>
        <v/>
      </c>
      <c r="C80" s="11">
        <f>INDEX(Tramos!$K$5:$K$112,MATCH(A80,Tramos!$A$5:$A$112,0))</f>
        <v/>
      </c>
      <c r="D80" s="4">
        <f>INDEX(Tramos!$N$5:$N$112,MATCH(A80,Tramos!$A$5:$A$112,0))</f>
        <v/>
      </c>
      <c r="E80" s="13">
        <f>INDEX(Tramos!$P$5:$P$112,MATCH(A80,Tramos!$A$5:$A$112,0))</f>
        <v/>
      </c>
      <c r="F80" s="11">
        <f>INDEX(Tramos!$X$5:$X$112,MATCH(A80,Tramos!$A$5:$A$112,0))</f>
        <v/>
      </c>
      <c r="G80" s="13">
        <f>SUM(F$79:F80)</f>
        <v/>
      </c>
    </row>
    <row r="81">
      <c r="A81" s="4" t="inlineStr">
        <is>
          <t>E2</t>
        </is>
      </c>
      <c r="B81" s="4">
        <f>INDEX(Tramos!$B$5:$B$112,MATCH(A81,Tramos!$A$5:$A$112,0))</f>
        <v/>
      </c>
      <c r="C81" s="11">
        <f>INDEX(Tramos!$K$5:$K$112,MATCH(A81,Tramos!$A$5:$A$112,0))</f>
        <v/>
      </c>
      <c r="D81" s="4">
        <f>INDEX(Tramos!$N$5:$N$112,MATCH(A81,Tramos!$A$5:$A$112,0))</f>
        <v/>
      </c>
      <c r="E81" s="13">
        <f>INDEX(Tramos!$P$5:$P$112,MATCH(A81,Tramos!$A$5:$A$112,0))</f>
        <v/>
      </c>
      <c r="F81" s="11">
        <f>INDEX(Tramos!$X$5:$X$112,MATCH(A81,Tramos!$A$5:$A$112,0))</f>
        <v/>
      </c>
      <c r="G81" s="13">
        <f>SUM(F$79:F81)</f>
        <v/>
      </c>
    </row>
    <row r="82">
      <c r="A82" s="4" t="inlineStr">
        <is>
          <t>E3</t>
        </is>
      </c>
      <c r="B82" s="4">
        <f>INDEX(Tramos!$B$5:$B$112,MATCH(A82,Tramos!$A$5:$A$112,0))</f>
        <v/>
      </c>
      <c r="C82" s="11">
        <f>INDEX(Tramos!$K$5:$K$112,MATCH(A82,Tramos!$A$5:$A$112,0))</f>
        <v/>
      </c>
      <c r="D82" s="4">
        <f>INDEX(Tramos!$N$5:$N$112,MATCH(A82,Tramos!$A$5:$A$112,0))</f>
        <v/>
      </c>
      <c r="E82" s="13">
        <f>INDEX(Tramos!$P$5:$P$112,MATCH(A82,Tramos!$A$5:$A$112,0))</f>
        <v/>
      </c>
      <c r="F82" s="11">
        <f>INDEX(Tramos!$X$5:$X$112,MATCH(A82,Tramos!$A$5:$A$112,0))</f>
        <v/>
      </c>
      <c r="G82" s="13">
        <f>SUM(F$79:F82)</f>
        <v/>
      </c>
    </row>
    <row r="83">
      <c r="A83" s="4" t="inlineStr">
        <is>
          <t>G2</t>
        </is>
      </c>
      <c r="B83" s="4">
        <f>INDEX(Tramos!$B$5:$B$112,MATCH(A83,Tramos!$A$5:$A$112,0))</f>
        <v/>
      </c>
      <c r="C83" s="11">
        <f>INDEX(Tramos!$K$5:$K$112,MATCH(A83,Tramos!$A$5:$A$112,0))</f>
        <v/>
      </c>
      <c r="D83" s="4">
        <f>INDEX(Tramos!$N$5:$N$112,MATCH(A83,Tramos!$A$5:$A$112,0))</f>
        <v/>
      </c>
      <c r="E83" s="13">
        <f>INDEX(Tramos!$P$5:$P$112,MATCH(A83,Tramos!$A$5:$A$112,0))</f>
        <v/>
      </c>
      <c r="F83" s="11">
        <f>INDEX(Tramos!$X$5:$X$112,MATCH(A83,Tramos!$A$5:$A$112,0))</f>
        <v/>
      </c>
      <c r="G83" s="13">
        <f>SUM(F$79:F83)</f>
        <v/>
      </c>
    </row>
    <row r="84">
      <c r="A84" s="4" t="inlineStr">
        <is>
          <t>E4</t>
        </is>
      </c>
      <c r="B84" s="4">
        <f>INDEX(Tramos!$B$5:$B$112,MATCH(A84,Tramos!$A$5:$A$112,0))</f>
        <v/>
      </c>
      <c r="C84" s="11">
        <f>INDEX(Tramos!$K$5:$K$112,MATCH(A84,Tramos!$A$5:$A$112,0))</f>
        <v/>
      </c>
      <c r="D84" s="4">
        <f>INDEX(Tramos!$N$5:$N$112,MATCH(A84,Tramos!$A$5:$A$112,0))</f>
        <v/>
      </c>
      <c r="E84" s="13">
        <f>INDEX(Tramos!$P$5:$P$112,MATCH(A84,Tramos!$A$5:$A$112,0))</f>
        <v/>
      </c>
      <c r="F84" s="11">
        <f>INDEX(Tramos!$X$5:$X$112,MATCH(A84,Tramos!$A$5:$A$112,0))</f>
        <v/>
      </c>
      <c r="G84" s="13">
        <f>SUM(F$79:F84)</f>
        <v/>
      </c>
    </row>
    <row r="85">
      <c r="A85" s="4" t="inlineStr">
        <is>
          <t>D0</t>
        </is>
      </c>
      <c r="B85" s="4">
        <f>INDEX(Tramos!$B$5:$B$112,MATCH(A85,Tramos!$A$5:$A$112,0))</f>
        <v/>
      </c>
      <c r="C85" s="11">
        <f>INDEX(Tramos!$K$5:$K$112,MATCH(A85,Tramos!$A$5:$A$112,0))</f>
        <v/>
      </c>
      <c r="D85" s="4">
        <f>INDEX(Tramos!$N$5:$N$112,MATCH(A85,Tramos!$A$5:$A$112,0))</f>
        <v/>
      </c>
      <c r="E85" s="13">
        <f>INDEX(Tramos!$P$5:$P$112,MATCH(A85,Tramos!$A$5:$A$112,0))</f>
        <v/>
      </c>
      <c r="F85" s="11">
        <f>INDEX(Tramos!$X$5:$X$112,MATCH(A85,Tramos!$A$5:$A$112,0))</f>
        <v/>
      </c>
      <c r="G85" s="13">
        <f>SUM(F$79:F85)</f>
        <v/>
      </c>
    </row>
    <row r="86">
      <c r="A86" s="4" t="inlineStr">
        <is>
          <t>DR1</t>
        </is>
      </c>
      <c r="B86" s="4">
        <f>INDEX(Tramos!$B$5:$B$112,MATCH(A86,Tramos!$A$5:$A$112,0))</f>
        <v/>
      </c>
      <c r="C86" s="11">
        <f>INDEX(Tramos!$K$5:$K$112,MATCH(A86,Tramos!$A$5:$A$112,0))</f>
        <v/>
      </c>
      <c r="D86" s="4">
        <f>INDEX(Tramos!$N$5:$N$112,MATCH(A86,Tramos!$A$5:$A$112,0))</f>
        <v/>
      </c>
      <c r="E86" s="13">
        <f>INDEX(Tramos!$P$5:$P$112,MATCH(A86,Tramos!$A$5:$A$112,0))</f>
        <v/>
      </c>
      <c r="F86" s="11">
        <f>INDEX(Tramos!$X$5:$X$112,MATCH(A86,Tramos!$A$5:$A$112,0))</f>
        <v/>
      </c>
      <c r="G86" s="13">
        <f>SUM(F$79:F86)</f>
        <v/>
      </c>
    </row>
    <row r="87">
      <c r="A87" s="4" t="inlineStr">
        <is>
          <t>MDR1</t>
        </is>
      </c>
      <c r="B87" s="4">
        <f>INDEX(Tramos!$B$5:$B$112,MATCH(A87,Tramos!$A$5:$A$112,0))</f>
        <v/>
      </c>
      <c r="C87" s="11">
        <f>INDEX(Tramos!$K$5:$K$112,MATCH(A87,Tramos!$A$5:$A$112,0))</f>
        <v/>
      </c>
      <c r="D87" s="4">
        <f>INDEX(Tramos!$N$5:$N$112,MATCH(A87,Tramos!$A$5:$A$112,0))</f>
        <v/>
      </c>
      <c r="E87" s="13">
        <f>INDEX(Tramos!$P$5:$P$112,MATCH(A87,Tramos!$A$5:$A$112,0))</f>
        <v/>
      </c>
      <c r="F87" s="11">
        <f>INDEX(Tramos!$X$5:$X$112,MATCH(A87,Tramos!$A$5:$A$112,0))</f>
        <v/>
      </c>
      <c r="G87" s="13">
        <f>SUM(F$79:F87)</f>
        <v/>
      </c>
    </row>
    <row r="88">
      <c r="A88" s="4" t="inlineStr">
        <is>
          <t>MDR2</t>
        </is>
      </c>
      <c r="B88" s="4">
        <f>INDEX(Tramos!$B$5:$B$112,MATCH(A88,Tramos!$A$5:$A$112,0))</f>
        <v/>
      </c>
      <c r="C88" s="11">
        <f>INDEX(Tramos!$K$5:$K$112,MATCH(A88,Tramos!$A$5:$A$112,0))</f>
        <v/>
      </c>
      <c r="D88" s="4">
        <f>INDEX(Tramos!$N$5:$N$112,MATCH(A88,Tramos!$A$5:$A$112,0))</f>
        <v/>
      </c>
      <c r="E88" s="13">
        <f>INDEX(Tramos!$P$5:$P$112,MATCH(A88,Tramos!$A$5:$A$112,0))</f>
        <v/>
      </c>
      <c r="F88" s="11">
        <f>INDEX(Tramos!$X$5:$X$112,MATCH(A88,Tramos!$A$5:$A$112,0))</f>
        <v/>
      </c>
      <c r="G88" s="13">
        <f>SUM(F$79:F88)</f>
        <v/>
      </c>
    </row>
    <row r="89">
      <c r="A89" s="4" t="inlineStr">
        <is>
          <t>MDR3</t>
        </is>
      </c>
      <c r="B89" s="4">
        <f>INDEX(Tramos!$B$5:$B$112,MATCH(A89,Tramos!$A$5:$A$112,0))</f>
        <v/>
      </c>
      <c r="C89" s="11">
        <f>INDEX(Tramos!$K$5:$K$112,MATCH(A89,Tramos!$A$5:$A$112,0))</f>
        <v/>
      </c>
      <c r="D89" s="4">
        <f>INDEX(Tramos!$N$5:$N$112,MATCH(A89,Tramos!$A$5:$A$112,0))</f>
        <v/>
      </c>
      <c r="E89" s="13">
        <f>INDEX(Tramos!$P$5:$P$112,MATCH(A89,Tramos!$A$5:$A$112,0))</f>
        <v/>
      </c>
      <c r="F89" s="11">
        <f>INDEX(Tramos!$X$5:$X$112,MATCH(A89,Tramos!$A$5:$A$112,0))</f>
        <v/>
      </c>
      <c r="G89" s="13">
        <f>SUM(F$79:F89)</f>
        <v/>
      </c>
    </row>
    <row r="90">
      <c r="A90" s="4" t="inlineStr">
        <is>
          <t>MDR4</t>
        </is>
      </c>
      <c r="B90" s="4">
        <f>INDEX(Tramos!$B$5:$B$112,MATCH(A90,Tramos!$A$5:$A$112,0))</f>
        <v/>
      </c>
      <c r="C90" s="11">
        <f>INDEX(Tramos!$K$5:$K$112,MATCH(A90,Tramos!$A$5:$A$112,0))</f>
        <v/>
      </c>
      <c r="D90" s="4">
        <f>INDEX(Tramos!$N$5:$N$112,MATCH(A90,Tramos!$A$5:$A$112,0))</f>
        <v/>
      </c>
      <c r="E90" s="13">
        <f>INDEX(Tramos!$P$5:$P$112,MATCH(A90,Tramos!$A$5:$A$112,0))</f>
        <v/>
      </c>
      <c r="F90" s="11">
        <f>INDEX(Tramos!$X$5:$X$112,MATCH(A90,Tramos!$A$5:$A$112,0))</f>
        <v/>
      </c>
      <c r="G90" s="13">
        <f>SUM(F$79:F90)</f>
        <v/>
      </c>
    </row>
    <row r="91">
      <c r="A91" s="4" t="inlineStr">
        <is>
          <t>MDR5</t>
        </is>
      </c>
      <c r="B91" s="4">
        <f>INDEX(Tramos!$B$5:$B$112,MATCH(A91,Tramos!$A$5:$A$112,0))</f>
        <v/>
      </c>
      <c r="C91" s="11">
        <f>INDEX(Tramos!$K$5:$K$112,MATCH(A91,Tramos!$A$5:$A$112,0))</f>
        <v/>
      </c>
      <c r="D91" s="4">
        <f>INDEX(Tramos!$N$5:$N$112,MATCH(A91,Tramos!$A$5:$A$112,0))</f>
        <v/>
      </c>
      <c r="E91" s="13">
        <f>INDEX(Tramos!$P$5:$P$112,MATCH(A91,Tramos!$A$5:$A$112,0))</f>
        <v/>
      </c>
      <c r="F91" s="11">
        <f>INDEX(Tramos!$X$5:$X$112,MATCH(A91,Tramos!$A$5:$A$112,0))</f>
        <v/>
      </c>
      <c r="G91" s="13">
        <f>SUM(F$79:F91)</f>
        <v/>
      </c>
    </row>
    <row r="92">
      <c r="A92" s="4" t="inlineStr">
        <is>
          <t>MDR6</t>
        </is>
      </c>
      <c r="B92" s="4">
        <f>INDEX(Tramos!$B$5:$B$112,MATCH(A92,Tramos!$A$5:$A$112,0))</f>
        <v/>
      </c>
      <c r="C92" s="11">
        <f>INDEX(Tramos!$K$5:$K$112,MATCH(A92,Tramos!$A$5:$A$112,0))</f>
        <v/>
      </c>
      <c r="D92" s="4">
        <f>INDEX(Tramos!$N$5:$N$112,MATCH(A92,Tramos!$A$5:$A$112,0))</f>
        <v/>
      </c>
      <c r="E92" s="13">
        <f>INDEX(Tramos!$P$5:$P$112,MATCH(A92,Tramos!$A$5:$A$112,0))</f>
        <v/>
      </c>
      <c r="F92" s="11">
        <f>INDEX(Tramos!$X$5:$X$112,MATCH(A92,Tramos!$A$5:$A$112,0))</f>
        <v/>
      </c>
      <c r="G92" s="13">
        <f>SUM(F$79:F92)</f>
        <v/>
      </c>
    </row>
    <row r="93">
      <c r="A93" s="4" t="inlineStr">
        <is>
          <t>MDR7</t>
        </is>
      </c>
      <c r="B93" s="4">
        <f>INDEX(Tramos!$B$5:$B$112,MATCH(A93,Tramos!$A$5:$A$112,0))</f>
        <v/>
      </c>
      <c r="C93" s="11">
        <f>INDEX(Tramos!$K$5:$K$112,MATCH(A93,Tramos!$A$5:$A$112,0))</f>
        <v/>
      </c>
      <c r="D93" s="4">
        <f>INDEX(Tramos!$N$5:$N$112,MATCH(A93,Tramos!$A$5:$A$112,0))</f>
        <v/>
      </c>
      <c r="E93" s="13">
        <f>INDEX(Tramos!$P$5:$P$112,MATCH(A93,Tramos!$A$5:$A$112,0))</f>
        <v/>
      </c>
      <c r="F93" s="11">
        <f>INDEX(Tramos!$X$5:$X$112,MATCH(A93,Tramos!$A$5:$A$112,0))</f>
        <v/>
      </c>
      <c r="G93" s="13">
        <f>SUM(F$79:F93)</f>
        <v/>
      </c>
    </row>
    <row r="94">
      <c r="A94" s="4" t="inlineStr">
        <is>
          <t>RR1</t>
        </is>
      </c>
      <c r="B94" s="4">
        <f>INDEX(Tramos!$B$5:$B$112,MATCH(A94,Tramos!$A$5:$A$112,0))</f>
        <v/>
      </c>
      <c r="C94" s="11">
        <f>INDEX(Tramos!$K$5:$K$112,MATCH(A94,Tramos!$A$5:$A$112,0))</f>
        <v/>
      </c>
      <c r="D94" s="4">
        <f>INDEX(Tramos!$N$5:$N$112,MATCH(A94,Tramos!$A$5:$A$112,0))</f>
        <v/>
      </c>
      <c r="E94" s="13">
        <f>INDEX(Tramos!$P$5:$P$112,MATCH(A94,Tramos!$A$5:$A$112,0))</f>
        <v/>
      </c>
      <c r="F94" s="11">
        <f>INDEX(Tramos!$X$5:$X$112,MATCH(A94,Tramos!$A$5:$A$112,0))</f>
        <v/>
      </c>
      <c r="G94" s="13">
        <f>SUM(F$79:F94)</f>
        <v/>
      </c>
    </row>
    <row r="95">
      <c r="A95" s="4" t="inlineStr">
        <is>
          <t>RR2</t>
        </is>
      </c>
      <c r="B95" s="4">
        <f>INDEX(Tramos!$B$5:$B$112,MATCH(A95,Tramos!$A$5:$A$112,0))</f>
        <v/>
      </c>
      <c r="C95" s="11">
        <f>INDEX(Tramos!$K$5:$K$112,MATCH(A95,Tramos!$A$5:$A$112,0))</f>
        <v/>
      </c>
      <c r="D95" s="4">
        <f>INDEX(Tramos!$N$5:$N$112,MATCH(A95,Tramos!$A$5:$A$112,0))</f>
        <v/>
      </c>
      <c r="E95" s="13">
        <f>INDEX(Tramos!$P$5:$P$112,MATCH(A95,Tramos!$A$5:$A$112,0))</f>
        <v/>
      </c>
      <c r="F95" s="11">
        <f>INDEX(Tramos!$X$5:$X$112,MATCH(A95,Tramos!$A$5:$A$112,0))</f>
        <v/>
      </c>
      <c r="G95" s="13">
        <f>SUM(F$79:F95)</f>
        <v/>
      </c>
    </row>
    <row r="96">
      <c r="A96" s="4" t="inlineStr">
        <is>
          <t>RR3</t>
        </is>
      </c>
      <c r="B96" s="4">
        <f>INDEX(Tramos!$B$5:$B$112,MATCH(A96,Tramos!$A$5:$A$112,0))</f>
        <v/>
      </c>
      <c r="C96" s="11">
        <f>INDEX(Tramos!$K$5:$K$112,MATCH(A96,Tramos!$A$5:$A$112,0))</f>
        <v/>
      </c>
      <c r="D96" s="4">
        <f>INDEX(Tramos!$N$5:$N$112,MATCH(A96,Tramos!$A$5:$A$112,0))</f>
        <v/>
      </c>
      <c r="E96" s="13">
        <f>INDEX(Tramos!$P$5:$P$112,MATCH(A96,Tramos!$A$5:$A$112,0))</f>
        <v/>
      </c>
      <c r="F96" s="11">
        <f>INDEX(Tramos!$X$5:$X$112,MATCH(A96,Tramos!$A$5:$A$112,0))</f>
        <v/>
      </c>
      <c r="G96" s="13">
        <f>SUM(F$79:F96)</f>
        <v/>
      </c>
    </row>
    <row r="97">
      <c r="A97" s="4" t="inlineStr">
        <is>
          <t>RR4</t>
        </is>
      </c>
      <c r="B97" s="4">
        <f>INDEX(Tramos!$B$5:$B$112,MATCH(A97,Tramos!$A$5:$A$112,0))</f>
        <v/>
      </c>
      <c r="C97" s="11">
        <f>INDEX(Tramos!$K$5:$K$112,MATCH(A97,Tramos!$A$5:$A$112,0))</f>
        <v/>
      </c>
      <c r="D97" s="4">
        <f>INDEX(Tramos!$N$5:$N$112,MATCH(A97,Tramos!$A$5:$A$112,0))</f>
        <v/>
      </c>
      <c r="E97" s="13">
        <f>INDEX(Tramos!$P$5:$P$112,MATCH(A97,Tramos!$A$5:$A$112,0))</f>
        <v/>
      </c>
      <c r="F97" s="11">
        <f>INDEX(Tramos!$X$5:$X$112,MATCH(A97,Tramos!$A$5:$A$112,0))</f>
        <v/>
      </c>
      <c r="G97" s="13">
        <f>SUM(F$79:F97)</f>
        <v/>
      </c>
    </row>
    <row r="98">
      <c r="A98" s="4" t="inlineStr">
        <is>
          <t>RR5</t>
        </is>
      </c>
      <c r="B98" s="4">
        <f>INDEX(Tramos!$B$5:$B$112,MATCH(A98,Tramos!$A$5:$A$112,0))</f>
        <v/>
      </c>
      <c r="C98" s="11">
        <f>INDEX(Tramos!$K$5:$K$112,MATCH(A98,Tramos!$A$5:$A$112,0))</f>
        <v/>
      </c>
      <c r="D98" s="4">
        <f>INDEX(Tramos!$N$5:$N$112,MATCH(A98,Tramos!$A$5:$A$112,0))</f>
        <v/>
      </c>
      <c r="E98" s="13">
        <f>INDEX(Tramos!$P$5:$P$112,MATCH(A98,Tramos!$A$5:$A$112,0))</f>
        <v/>
      </c>
      <c r="F98" s="11">
        <f>INDEX(Tramos!$X$5:$X$112,MATCH(A98,Tramos!$A$5:$A$112,0))</f>
        <v/>
      </c>
      <c r="G98" s="13">
        <f>SUM(F$79:F98)</f>
        <v/>
      </c>
    </row>
    <row r="99">
      <c r="A99" s="4" t="inlineStr">
        <is>
          <t>RR6</t>
        </is>
      </c>
      <c r="B99" s="4">
        <f>INDEX(Tramos!$B$5:$B$112,MATCH(A99,Tramos!$A$5:$A$112,0))</f>
        <v/>
      </c>
      <c r="C99" s="11">
        <f>INDEX(Tramos!$K$5:$K$112,MATCH(A99,Tramos!$A$5:$A$112,0))</f>
        <v/>
      </c>
      <c r="D99" s="4">
        <f>INDEX(Tramos!$N$5:$N$112,MATCH(A99,Tramos!$A$5:$A$112,0))</f>
        <v/>
      </c>
      <c r="E99" s="13">
        <f>INDEX(Tramos!$P$5:$P$112,MATCH(A99,Tramos!$A$5:$A$112,0))</f>
        <v/>
      </c>
      <c r="F99" s="11">
        <f>INDEX(Tramos!$X$5:$X$112,MATCH(A99,Tramos!$A$5:$A$112,0))</f>
        <v/>
      </c>
      <c r="G99" s="13">
        <f>SUM(F$79:F99)</f>
        <v/>
      </c>
    </row>
    <row r="100">
      <c r="A100" s="4" t="inlineStr">
        <is>
          <t>H1</t>
        </is>
      </c>
      <c r="B100" s="4">
        <f>INDEX(Tramos!$B$5:$B$112,MATCH(A100,Tramos!$A$5:$A$112,0))</f>
        <v/>
      </c>
      <c r="C100" s="11">
        <f>INDEX(Tramos!$K$5:$K$112,MATCH(A100,Tramos!$A$5:$A$112,0))</f>
        <v/>
      </c>
      <c r="D100" s="4">
        <f>INDEX(Tramos!$N$5:$N$112,MATCH(A100,Tramos!$A$5:$A$112,0))</f>
        <v/>
      </c>
      <c r="E100" s="13">
        <f>INDEX(Tramos!$P$5:$P$112,MATCH(A100,Tramos!$A$5:$A$112,0))</f>
        <v/>
      </c>
      <c r="F100" s="11">
        <f>INDEX(Tramos!$X$5:$X$112,MATCH(A100,Tramos!$A$5:$A$112,0))</f>
        <v/>
      </c>
      <c r="G100" s="13">
        <f>SUM(F$79:F100)</f>
        <v/>
      </c>
    </row>
    <row r="101">
      <c r="A101" s="4" t="inlineStr">
        <is>
          <t>H2</t>
        </is>
      </c>
      <c r="B101" s="4">
        <f>INDEX(Tramos!$B$5:$B$112,MATCH(A101,Tramos!$A$5:$A$112,0))</f>
        <v/>
      </c>
      <c r="C101" s="11">
        <f>INDEX(Tramos!$K$5:$K$112,MATCH(A101,Tramos!$A$5:$A$112,0))</f>
        <v/>
      </c>
      <c r="D101" s="4">
        <f>INDEX(Tramos!$N$5:$N$112,MATCH(A101,Tramos!$A$5:$A$112,0))</f>
        <v/>
      </c>
      <c r="E101" s="13">
        <f>INDEX(Tramos!$P$5:$P$112,MATCH(A101,Tramos!$A$5:$A$112,0))</f>
        <v/>
      </c>
      <c r="F101" s="11">
        <f>INDEX(Tramos!$X$5:$X$112,MATCH(A101,Tramos!$A$5:$A$112,0))</f>
        <v/>
      </c>
      <c r="G101" s="13">
        <f>SUM(F$79:F101)</f>
        <v/>
      </c>
    </row>
    <row r="102">
      <c r="A102" s="4" t="inlineStr">
        <is>
          <t>H3</t>
        </is>
      </c>
      <c r="B102" s="4">
        <f>INDEX(Tramos!$B$5:$B$112,MATCH(A102,Tramos!$A$5:$A$112,0))</f>
        <v/>
      </c>
      <c r="C102" s="11">
        <f>INDEX(Tramos!$K$5:$K$112,MATCH(A102,Tramos!$A$5:$A$112,0))</f>
        <v/>
      </c>
      <c r="D102" s="4">
        <f>INDEX(Tramos!$N$5:$N$112,MATCH(A102,Tramos!$A$5:$A$112,0))</f>
        <v/>
      </c>
      <c r="E102" s="13">
        <f>INDEX(Tramos!$P$5:$P$112,MATCH(A102,Tramos!$A$5:$A$112,0))</f>
        <v/>
      </c>
      <c r="F102" s="11">
        <f>INDEX(Tramos!$X$5:$X$112,MATCH(A102,Tramos!$A$5:$A$112,0))</f>
        <v/>
      </c>
      <c r="G102" s="13">
        <f>SUM(F$79:F102)</f>
        <v/>
      </c>
    </row>
    <row r="103">
      <c r="A103" s="4" t="inlineStr">
        <is>
          <t>H4</t>
        </is>
      </c>
      <c r="B103" s="4">
        <f>INDEX(Tramos!$B$5:$B$112,MATCH(A103,Tramos!$A$5:$A$112,0))</f>
        <v/>
      </c>
      <c r="C103" s="11">
        <f>INDEX(Tramos!$K$5:$K$112,MATCH(A103,Tramos!$A$5:$A$112,0))</f>
        <v/>
      </c>
      <c r="D103" s="4">
        <f>INDEX(Tramos!$N$5:$N$112,MATCH(A103,Tramos!$A$5:$A$112,0))</f>
        <v/>
      </c>
      <c r="E103" s="13">
        <f>INDEX(Tramos!$P$5:$P$112,MATCH(A103,Tramos!$A$5:$A$112,0))</f>
        <v/>
      </c>
      <c r="F103" s="11">
        <f>INDEX(Tramos!$X$5:$X$112,MATCH(A103,Tramos!$A$5:$A$112,0))</f>
        <v/>
      </c>
      <c r="G103" s="13">
        <f>SUM(F$79:F103)</f>
        <v/>
      </c>
    </row>
    <row r="106">
      <c r="A106" s="3" t="inlineStr">
        <is>
          <t>R4 AF directo E · P7 · bañera</t>
        </is>
      </c>
      <c r="B106" s="3" t="inlineStr">
        <is>
          <t>Descripción</t>
        </is>
      </c>
      <c r="C106" s="3" t="inlineStr">
        <is>
          <t>Qc (l/s)</t>
        </is>
      </c>
      <c r="D106" s="3" t="inlineStr">
        <is>
          <t>Designación</t>
        </is>
      </c>
      <c r="E106" s="3" t="inlineStr">
        <is>
          <t>v (m/s)</t>
        </is>
      </c>
      <c r="F106" s="3" t="inlineStr">
        <is>
          <t>hf+hm (mca)</t>
        </is>
      </c>
      <c r="G106" s="3" t="inlineStr">
        <is>
          <t>Σ acumulada (mca)</t>
        </is>
      </c>
    </row>
    <row r="107">
      <c r="A107" s="4" t="inlineStr">
        <is>
          <t>G1</t>
        </is>
      </c>
      <c r="B107" s="4">
        <f>INDEX(Tramos!$B$5:$B$112,MATCH(A107,Tramos!$A$5:$A$112,0))</f>
        <v/>
      </c>
      <c r="C107" s="11">
        <f>INDEX(Tramos!$K$5:$K$112,MATCH(A107,Tramos!$A$5:$A$112,0))</f>
        <v/>
      </c>
      <c r="D107" s="4">
        <f>INDEX(Tramos!$N$5:$N$112,MATCH(A107,Tramos!$A$5:$A$112,0))</f>
        <v/>
      </c>
      <c r="E107" s="13">
        <f>INDEX(Tramos!$P$5:$P$112,MATCH(A107,Tramos!$A$5:$A$112,0))</f>
        <v/>
      </c>
      <c r="F107" s="11">
        <f>INDEX(Tramos!$X$5:$X$112,MATCH(A107,Tramos!$A$5:$A$112,0))</f>
        <v/>
      </c>
      <c r="G107" s="13">
        <f>SUM(F$107:F107)</f>
        <v/>
      </c>
    </row>
    <row r="108">
      <c r="A108" s="4" t="inlineStr">
        <is>
          <t>E1</t>
        </is>
      </c>
      <c r="B108" s="4">
        <f>INDEX(Tramos!$B$5:$B$112,MATCH(A108,Tramos!$A$5:$A$112,0))</f>
        <v/>
      </c>
      <c r="C108" s="11">
        <f>INDEX(Tramos!$K$5:$K$112,MATCH(A108,Tramos!$A$5:$A$112,0))</f>
        <v/>
      </c>
      <c r="D108" s="4">
        <f>INDEX(Tramos!$N$5:$N$112,MATCH(A108,Tramos!$A$5:$A$112,0))</f>
        <v/>
      </c>
      <c r="E108" s="13">
        <f>INDEX(Tramos!$P$5:$P$112,MATCH(A108,Tramos!$A$5:$A$112,0))</f>
        <v/>
      </c>
      <c r="F108" s="11">
        <f>INDEX(Tramos!$X$5:$X$112,MATCH(A108,Tramos!$A$5:$A$112,0))</f>
        <v/>
      </c>
      <c r="G108" s="13">
        <f>SUM(F$107:F108)</f>
        <v/>
      </c>
    </row>
    <row r="109">
      <c r="A109" s="4" t="inlineStr">
        <is>
          <t>E2</t>
        </is>
      </c>
      <c r="B109" s="4">
        <f>INDEX(Tramos!$B$5:$B$112,MATCH(A109,Tramos!$A$5:$A$112,0))</f>
        <v/>
      </c>
      <c r="C109" s="11">
        <f>INDEX(Tramos!$K$5:$K$112,MATCH(A109,Tramos!$A$5:$A$112,0))</f>
        <v/>
      </c>
      <c r="D109" s="4">
        <f>INDEX(Tramos!$N$5:$N$112,MATCH(A109,Tramos!$A$5:$A$112,0))</f>
        <v/>
      </c>
      <c r="E109" s="13">
        <f>INDEX(Tramos!$P$5:$P$112,MATCH(A109,Tramos!$A$5:$A$112,0))</f>
        <v/>
      </c>
      <c r="F109" s="11">
        <f>INDEX(Tramos!$X$5:$X$112,MATCH(A109,Tramos!$A$5:$A$112,0))</f>
        <v/>
      </c>
      <c r="G109" s="13">
        <f>SUM(F$107:F109)</f>
        <v/>
      </c>
    </row>
    <row r="110">
      <c r="A110" s="4" t="inlineStr">
        <is>
          <t>E3</t>
        </is>
      </c>
      <c r="B110" s="4">
        <f>INDEX(Tramos!$B$5:$B$112,MATCH(A110,Tramos!$A$5:$A$112,0))</f>
        <v/>
      </c>
      <c r="C110" s="11">
        <f>INDEX(Tramos!$K$5:$K$112,MATCH(A110,Tramos!$A$5:$A$112,0))</f>
        <v/>
      </c>
      <c r="D110" s="4">
        <f>INDEX(Tramos!$N$5:$N$112,MATCH(A110,Tramos!$A$5:$A$112,0))</f>
        <v/>
      </c>
      <c r="E110" s="13">
        <f>INDEX(Tramos!$P$5:$P$112,MATCH(A110,Tramos!$A$5:$A$112,0))</f>
        <v/>
      </c>
      <c r="F110" s="11">
        <f>INDEX(Tramos!$X$5:$X$112,MATCH(A110,Tramos!$A$5:$A$112,0))</f>
        <v/>
      </c>
      <c r="G110" s="13">
        <f>SUM(F$107:F110)</f>
        <v/>
      </c>
    </row>
    <row r="111">
      <c r="A111" s="4" t="inlineStr">
        <is>
          <t>G2</t>
        </is>
      </c>
      <c r="B111" s="4">
        <f>INDEX(Tramos!$B$5:$B$112,MATCH(A111,Tramos!$A$5:$A$112,0))</f>
        <v/>
      </c>
      <c r="C111" s="11">
        <f>INDEX(Tramos!$K$5:$K$112,MATCH(A111,Tramos!$A$5:$A$112,0))</f>
        <v/>
      </c>
      <c r="D111" s="4">
        <f>INDEX(Tramos!$N$5:$N$112,MATCH(A111,Tramos!$A$5:$A$112,0))</f>
        <v/>
      </c>
      <c r="E111" s="13">
        <f>INDEX(Tramos!$P$5:$P$112,MATCH(A111,Tramos!$A$5:$A$112,0))</f>
        <v/>
      </c>
      <c r="F111" s="11">
        <f>INDEX(Tramos!$X$5:$X$112,MATCH(A111,Tramos!$A$5:$A$112,0))</f>
        <v/>
      </c>
      <c r="G111" s="13">
        <f>SUM(F$107:F111)</f>
        <v/>
      </c>
    </row>
    <row r="112">
      <c r="A112" s="4" t="inlineStr">
        <is>
          <t>E4</t>
        </is>
      </c>
      <c r="B112" s="4">
        <f>INDEX(Tramos!$B$5:$B$112,MATCH(A112,Tramos!$A$5:$A$112,0))</f>
        <v/>
      </c>
      <c r="C112" s="11">
        <f>INDEX(Tramos!$K$5:$K$112,MATCH(A112,Tramos!$A$5:$A$112,0))</f>
        <v/>
      </c>
      <c r="D112" s="4">
        <f>INDEX(Tramos!$N$5:$N$112,MATCH(A112,Tramos!$A$5:$A$112,0))</f>
        <v/>
      </c>
      <c r="E112" s="13">
        <f>INDEX(Tramos!$P$5:$P$112,MATCH(A112,Tramos!$A$5:$A$112,0))</f>
        <v/>
      </c>
      <c r="F112" s="11">
        <f>INDEX(Tramos!$X$5:$X$112,MATCH(A112,Tramos!$A$5:$A$112,0))</f>
        <v/>
      </c>
      <c r="G112" s="13">
        <f>SUM(F$107:F112)</f>
        <v/>
      </c>
    </row>
    <row r="113">
      <c r="A113" s="4" t="inlineStr">
        <is>
          <t>D0</t>
        </is>
      </c>
      <c r="B113" s="4">
        <f>INDEX(Tramos!$B$5:$B$112,MATCH(A113,Tramos!$A$5:$A$112,0))</f>
        <v/>
      </c>
      <c r="C113" s="11">
        <f>INDEX(Tramos!$K$5:$K$112,MATCH(A113,Tramos!$A$5:$A$112,0))</f>
        <v/>
      </c>
      <c r="D113" s="4">
        <f>INDEX(Tramos!$N$5:$N$112,MATCH(A113,Tramos!$A$5:$A$112,0))</f>
        <v/>
      </c>
      <c r="E113" s="13">
        <f>INDEX(Tramos!$P$5:$P$112,MATCH(A113,Tramos!$A$5:$A$112,0))</f>
        <v/>
      </c>
      <c r="F113" s="11">
        <f>INDEX(Tramos!$X$5:$X$112,MATCH(A113,Tramos!$A$5:$A$112,0))</f>
        <v/>
      </c>
      <c r="G113" s="13">
        <f>SUM(F$107:F113)</f>
        <v/>
      </c>
    </row>
    <row r="114">
      <c r="A114" s="4" t="inlineStr">
        <is>
          <t>DR1</t>
        </is>
      </c>
      <c r="B114" s="4">
        <f>INDEX(Tramos!$B$5:$B$112,MATCH(A114,Tramos!$A$5:$A$112,0))</f>
        <v/>
      </c>
      <c r="C114" s="11">
        <f>INDEX(Tramos!$K$5:$K$112,MATCH(A114,Tramos!$A$5:$A$112,0))</f>
        <v/>
      </c>
      <c r="D114" s="4">
        <f>INDEX(Tramos!$N$5:$N$112,MATCH(A114,Tramos!$A$5:$A$112,0))</f>
        <v/>
      </c>
      <c r="E114" s="13">
        <f>INDEX(Tramos!$P$5:$P$112,MATCH(A114,Tramos!$A$5:$A$112,0))</f>
        <v/>
      </c>
      <c r="F114" s="11">
        <f>INDEX(Tramos!$X$5:$X$112,MATCH(A114,Tramos!$A$5:$A$112,0))</f>
        <v/>
      </c>
      <c r="G114" s="13">
        <f>SUM(F$107:F114)</f>
        <v/>
      </c>
    </row>
    <row r="115">
      <c r="A115" s="4" t="inlineStr">
        <is>
          <t>MDR1</t>
        </is>
      </c>
      <c r="B115" s="4">
        <f>INDEX(Tramos!$B$5:$B$112,MATCH(A115,Tramos!$A$5:$A$112,0))</f>
        <v/>
      </c>
      <c r="C115" s="11">
        <f>INDEX(Tramos!$K$5:$K$112,MATCH(A115,Tramos!$A$5:$A$112,0))</f>
        <v/>
      </c>
      <c r="D115" s="4">
        <f>INDEX(Tramos!$N$5:$N$112,MATCH(A115,Tramos!$A$5:$A$112,0))</f>
        <v/>
      </c>
      <c r="E115" s="13">
        <f>INDEX(Tramos!$P$5:$P$112,MATCH(A115,Tramos!$A$5:$A$112,0))</f>
        <v/>
      </c>
      <c r="F115" s="11">
        <f>INDEX(Tramos!$X$5:$X$112,MATCH(A115,Tramos!$A$5:$A$112,0))</f>
        <v/>
      </c>
      <c r="G115" s="13">
        <f>SUM(F$107:F115)</f>
        <v/>
      </c>
    </row>
    <row r="116">
      <c r="A116" s="4" t="inlineStr">
        <is>
          <t>MDR2</t>
        </is>
      </c>
      <c r="B116" s="4">
        <f>INDEX(Tramos!$B$5:$B$112,MATCH(A116,Tramos!$A$5:$A$112,0))</f>
        <v/>
      </c>
      <c r="C116" s="11">
        <f>INDEX(Tramos!$K$5:$K$112,MATCH(A116,Tramos!$A$5:$A$112,0))</f>
        <v/>
      </c>
      <c r="D116" s="4">
        <f>INDEX(Tramos!$N$5:$N$112,MATCH(A116,Tramos!$A$5:$A$112,0))</f>
        <v/>
      </c>
      <c r="E116" s="13">
        <f>INDEX(Tramos!$P$5:$P$112,MATCH(A116,Tramos!$A$5:$A$112,0))</f>
        <v/>
      </c>
      <c r="F116" s="11">
        <f>INDEX(Tramos!$X$5:$X$112,MATCH(A116,Tramos!$A$5:$A$112,0))</f>
        <v/>
      </c>
      <c r="G116" s="13">
        <f>SUM(F$107:F116)</f>
        <v/>
      </c>
    </row>
    <row r="117">
      <c r="A117" s="4" t="inlineStr">
        <is>
          <t>MDR3</t>
        </is>
      </c>
      <c r="B117" s="4">
        <f>INDEX(Tramos!$B$5:$B$112,MATCH(A117,Tramos!$A$5:$A$112,0))</f>
        <v/>
      </c>
      <c r="C117" s="11">
        <f>INDEX(Tramos!$K$5:$K$112,MATCH(A117,Tramos!$A$5:$A$112,0))</f>
        <v/>
      </c>
      <c r="D117" s="4">
        <f>INDEX(Tramos!$N$5:$N$112,MATCH(A117,Tramos!$A$5:$A$112,0))</f>
        <v/>
      </c>
      <c r="E117" s="13">
        <f>INDEX(Tramos!$P$5:$P$112,MATCH(A117,Tramos!$A$5:$A$112,0))</f>
        <v/>
      </c>
      <c r="F117" s="11">
        <f>INDEX(Tramos!$X$5:$X$112,MATCH(A117,Tramos!$A$5:$A$112,0))</f>
        <v/>
      </c>
      <c r="G117" s="13">
        <f>SUM(F$107:F117)</f>
        <v/>
      </c>
    </row>
    <row r="118">
      <c r="A118" s="4" t="inlineStr">
        <is>
          <t>MDR4</t>
        </is>
      </c>
      <c r="B118" s="4">
        <f>INDEX(Tramos!$B$5:$B$112,MATCH(A118,Tramos!$A$5:$A$112,0))</f>
        <v/>
      </c>
      <c r="C118" s="11">
        <f>INDEX(Tramos!$K$5:$K$112,MATCH(A118,Tramos!$A$5:$A$112,0))</f>
        <v/>
      </c>
      <c r="D118" s="4">
        <f>INDEX(Tramos!$N$5:$N$112,MATCH(A118,Tramos!$A$5:$A$112,0))</f>
        <v/>
      </c>
      <c r="E118" s="13">
        <f>INDEX(Tramos!$P$5:$P$112,MATCH(A118,Tramos!$A$5:$A$112,0))</f>
        <v/>
      </c>
      <c r="F118" s="11">
        <f>INDEX(Tramos!$X$5:$X$112,MATCH(A118,Tramos!$A$5:$A$112,0))</f>
        <v/>
      </c>
      <c r="G118" s="13">
        <f>SUM(F$107:F118)</f>
        <v/>
      </c>
    </row>
    <row r="119">
      <c r="A119" s="4" t="inlineStr">
        <is>
          <t>MDR5</t>
        </is>
      </c>
      <c r="B119" s="4">
        <f>INDEX(Tramos!$B$5:$B$112,MATCH(A119,Tramos!$A$5:$A$112,0))</f>
        <v/>
      </c>
      <c r="C119" s="11">
        <f>INDEX(Tramos!$K$5:$K$112,MATCH(A119,Tramos!$A$5:$A$112,0))</f>
        <v/>
      </c>
      <c r="D119" s="4">
        <f>INDEX(Tramos!$N$5:$N$112,MATCH(A119,Tramos!$A$5:$A$112,0))</f>
        <v/>
      </c>
      <c r="E119" s="13">
        <f>INDEX(Tramos!$P$5:$P$112,MATCH(A119,Tramos!$A$5:$A$112,0))</f>
        <v/>
      </c>
      <c r="F119" s="11">
        <f>INDEX(Tramos!$X$5:$X$112,MATCH(A119,Tramos!$A$5:$A$112,0))</f>
        <v/>
      </c>
      <c r="G119" s="13">
        <f>SUM(F$107:F119)</f>
        <v/>
      </c>
    </row>
    <row r="120">
      <c r="A120" s="4" t="inlineStr">
        <is>
          <t>MDR6</t>
        </is>
      </c>
      <c r="B120" s="4">
        <f>INDEX(Tramos!$B$5:$B$112,MATCH(A120,Tramos!$A$5:$A$112,0))</f>
        <v/>
      </c>
      <c r="C120" s="11">
        <f>INDEX(Tramos!$K$5:$K$112,MATCH(A120,Tramos!$A$5:$A$112,0))</f>
        <v/>
      </c>
      <c r="D120" s="4">
        <f>INDEX(Tramos!$N$5:$N$112,MATCH(A120,Tramos!$A$5:$A$112,0))</f>
        <v/>
      </c>
      <c r="E120" s="13">
        <f>INDEX(Tramos!$P$5:$P$112,MATCH(A120,Tramos!$A$5:$A$112,0))</f>
        <v/>
      </c>
      <c r="F120" s="11">
        <f>INDEX(Tramos!$X$5:$X$112,MATCH(A120,Tramos!$A$5:$A$112,0))</f>
        <v/>
      </c>
      <c r="G120" s="13">
        <f>SUM(F$107:F120)</f>
        <v/>
      </c>
    </row>
    <row r="121">
      <c r="A121" s="4" t="inlineStr">
        <is>
          <t>MDR7</t>
        </is>
      </c>
      <c r="B121" s="4">
        <f>INDEX(Tramos!$B$5:$B$112,MATCH(A121,Tramos!$A$5:$A$112,0))</f>
        <v/>
      </c>
      <c r="C121" s="11">
        <f>INDEX(Tramos!$K$5:$K$112,MATCH(A121,Tramos!$A$5:$A$112,0))</f>
        <v/>
      </c>
      <c r="D121" s="4">
        <f>INDEX(Tramos!$N$5:$N$112,MATCH(A121,Tramos!$A$5:$A$112,0))</f>
        <v/>
      </c>
      <c r="E121" s="13">
        <f>INDEX(Tramos!$P$5:$P$112,MATCH(A121,Tramos!$A$5:$A$112,0))</f>
        <v/>
      </c>
      <c r="F121" s="11">
        <f>INDEX(Tramos!$X$5:$X$112,MATCH(A121,Tramos!$A$5:$A$112,0))</f>
        <v/>
      </c>
      <c r="G121" s="13">
        <f>SUM(F$107:F121)</f>
        <v/>
      </c>
    </row>
    <row r="122">
      <c r="A122" s="4" t="inlineStr">
        <is>
          <t>RR1</t>
        </is>
      </c>
      <c r="B122" s="4">
        <f>INDEX(Tramos!$B$5:$B$112,MATCH(A122,Tramos!$A$5:$A$112,0))</f>
        <v/>
      </c>
      <c r="C122" s="11">
        <f>INDEX(Tramos!$K$5:$K$112,MATCH(A122,Tramos!$A$5:$A$112,0))</f>
        <v/>
      </c>
      <c r="D122" s="4">
        <f>INDEX(Tramos!$N$5:$N$112,MATCH(A122,Tramos!$A$5:$A$112,0))</f>
        <v/>
      </c>
      <c r="E122" s="13">
        <f>INDEX(Tramos!$P$5:$P$112,MATCH(A122,Tramos!$A$5:$A$112,0))</f>
        <v/>
      </c>
      <c r="F122" s="11">
        <f>INDEX(Tramos!$X$5:$X$112,MATCH(A122,Tramos!$A$5:$A$112,0))</f>
        <v/>
      </c>
      <c r="G122" s="13">
        <f>SUM(F$107:F122)</f>
        <v/>
      </c>
    </row>
    <row r="123">
      <c r="A123" s="4" t="inlineStr">
        <is>
          <t>RR2</t>
        </is>
      </c>
      <c r="B123" s="4">
        <f>INDEX(Tramos!$B$5:$B$112,MATCH(A123,Tramos!$A$5:$A$112,0))</f>
        <v/>
      </c>
      <c r="C123" s="11">
        <f>INDEX(Tramos!$K$5:$K$112,MATCH(A123,Tramos!$A$5:$A$112,0))</f>
        <v/>
      </c>
      <c r="D123" s="4">
        <f>INDEX(Tramos!$N$5:$N$112,MATCH(A123,Tramos!$A$5:$A$112,0))</f>
        <v/>
      </c>
      <c r="E123" s="13">
        <f>INDEX(Tramos!$P$5:$P$112,MATCH(A123,Tramos!$A$5:$A$112,0))</f>
        <v/>
      </c>
      <c r="F123" s="11">
        <f>INDEX(Tramos!$X$5:$X$112,MATCH(A123,Tramos!$A$5:$A$112,0))</f>
        <v/>
      </c>
      <c r="G123" s="13">
        <f>SUM(F$107:F123)</f>
        <v/>
      </c>
    </row>
    <row r="124">
      <c r="A124" s="4" t="inlineStr">
        <is>
          <t>RR3</t>
        </is>
      </c>
      <c r="B124" s="4">
        <f>INDEX(Tramos!$B$5:$B$112,MATCH(A124,Tramos!$A$5:$A$112,0))</f>
        <v/>
      </c>
      <c r="C124" s="11">
        <f>INDEX(Tramos!$K$5:$K$112,MATCH(A124,Tramos!$A$5:$A$112,0))</f>
        <v/>
      </c>
      <c r="D124" s="4">
        <f>INDEX(Tramos!$N$5:$N$112,MATCH(A124,Tramos!$A$5:$A$112,0))</f>
        <v/>
      </c>
      <c r="E124" s="13">
        <f>INDEX(Tramos!$P$5:$P$112,MATCH(A124,Tramos!$A$5:$A$112,0))</f>
        <v/>
      </c>
      <c r="F124" s="11">
        <f>INDEX(Tramos!$X$5:$X$112,MATCH(A124,Tramos!$A$5:$A$112,0))</f>
        <v/>
      </c>
      <c r="G124" s="13">
        <f>SUM(F$107:F124)</f>
        <v/>
      </c>
    </row>
    <row r="125">
      <c r="A125" s="4" t="inlineStr">
        <is>
          <t>RR4</t>
        </is>
      </c>
      <c r="B125" s="4">
        <f>INDEX(Tramos!$B$5:$B$112,MATCH(A125,Tramos!$A$5:$A$112,0))</f>
        <v/>
      </c>
      <c r="C125" s="11">
        <f>INDEX(Tramos!$K$5:$K$112,MATCH(A125,Tramos!$A$5:$A$112,0))</f>
        <v/>
      </c>
      <c r="D125" s="4">
        <f>INDEX(Tramos!$N$5:$N$112,MATCH(A125,Tramos!$A$5:$A$112,0))</f>
        <v/>
      </c>
      <c r="E125" s="13">
        <f>INDEX(Tramos!$P$5:$P$112,MATCH(A125,Tramos!$A$5:$A$112,0))</f>
        <v/>
      </c>
      <c r="F125" s="11">
        <f>INDEX(Tramos!$X$5:$X$112,MATCH(A125,Tramos!$A$5:$A$112,0))</f>
        <v/>
      </c>
      <c r="G125" s="13">
        <f>SUM(F$107:F125)</f>
        <v/>
      </c>
    </row>
    <row r="126">
      <c r="A126" s="4" t="inlineStr">
        <is>
          <t>RR5</t>
        </is>
      </c>
      <c r="B126" s="4">
        <f>INDEX(Tramos!$B$5:$B$112,MATCH(A126,Tramos!$A$5:$A$112,0))</f>
        <v/>
      </c>
      <c r="C126" s="11">
        <f>INDEX(Tramos!$K$5:$K$112,MATCH(A126,Tramos!$A$5:$A$112,0))</f>
        <v/>
      </c>
      <c r="D126" s="4">
        <f>INDEX(Tramos!$N$5:$N$112,MATCH(A126,Tramos!$A$5:$A$112,0))</f>
        <v/>
      </c>
      <c r="E126" s="13">
        <f>INDEX(Tramos!$P$5:$P$112,MATCH(A126,Tramos!$A$5:$A$112,0))</f>
        <v/>
      </c>
      <c r="F126" s="11">
        <f>INDEX(Tramos!$X$5:$X$112,MATCH(A126,Tramos!$A$5:$A$112,0))</f>
        <v/>
      </c>
      <c r="G126" s="13">
        <f>SUM(F$107:F126)</f>
        <v/>
      </c>
    </row>
    <row r="127">
      <c r="A127" s="4" t="inlineStr">
        <is>
          <t>RR6</t>
        </is>
      </c>
      <c r="B127" s="4">
        <f>INDEX(Tramos!$B$5:$B$112,MATCH(A127,Tramos!$A$5:$A$112,0))</f>
        <v/>
      </c>
      <c r="C127" s="11">
        <f>INDEX(Tramos!$K$5:$K$112,MATCH(A127,Tramos!$A$5:$A$112,0))</f>
        <v/>
      </c>
      <c r="D127" s="4">
        <f>INDEX(Tramos!$N$5:$N$112,MATCH(A127,Tramos!$A$5:$A$112,0))</f>
        <v/>
      </c>
      <c r="E127" s="13">
        <f>INDEX(Tramos!$P$5:$P$112,MATCH(A127,Tramos!$A$5:$A$112,0))</f>
        <v/>
      </c>
      <c r="F127" s="11">
        <f>INDEX(Tramos!$X$5:$X$112,MATCH(A127,Tramos!$A$5:$A$112,0))</f>
        <v/>
      </c>
      <c r="G127" s="13">
        <f>SUM(F$107:F127)</f>
        <v/>
      </c>
    </row>
    <row r="128">
      <c r="A128" s="4" t="inlineStr">
        <is>
          <t>H1</t>
        </is>
      </c>
      <c r="B128" s="4">
        <f>INDEX(Tramos!$B$5:$B$112,MATCH(A128,Tramos!$A$5:$A$112,0))</f>
        <v/>
      </c>
      <c r="C128" s="11">
        <f>INDEX(Tramos!$K$5:$K$112,MATCH(A128,Tramos!$A$5:$A$112,0))</f>
        <v/>
      </c>
      <c r="D128" s="4">
        <f>INDEX(Tramos!$N$5:$N$112,MATCH(A128,Tramos!$A$5:$A$112,0))</f>
        <v/>
      </c>
      <c r="E128" s="13">
        <f>INDEX(Tramos!$P$5:$P$112,MATCH(A128,Tramos!$A$5:$A$112,0))</f>
        <v/>
      </c>
      <c r="F128" s="11">
        <f>INDEX(Tramos!$X$5:$X$112,MATCH(A128,Tramos!$A$5:$A$112,0))</f>
        <v/>
      </c>
      <c r="G128" s="13">
        <f>SUM(F$107:F128)</f>
        <v/>
      </c>
    </row>
    <row r="129">
      <c r="A129" s="4" t="inlineStr">
        <is>
          <t>H5</t>
        </is>
      </c>
      <c r="B129" s="4">
        <f>INDEX(Tramos!$B$5:$B$112,MATCH(A129,Tramos!$A$5:$A$112,0))</f>
        <v/>
      </c>
      <c r="C129" s="11">
        <f>INDEX(Tramos!$K$5:$K$112,MATCH(A129,Tramos!$A$5:$A$112,0))</f>
        <v/>
      </c>
      <c r="D129" s="4">
        <f>INDEX(Tramos!$N$5:$N$112,MATCH(A129,Tramos!$A$5:$A$112,0))</f>
        <v/>
      </c>
      <c r="E129" s="13">
        <f>INDEX(Tramos!$P$5:$P$112,MATCH(A129,Tramos!$A$5:$A$112,0))</f>
        <v/>
      </c>
      <c r="F129" s="11">
        <f>INDEX(Tramos!$X$5:$X$112,MATCH(A129,Tramos!$A$5:$A$112,0))</f>
        <v/>
      </c>
      <c r="G129" s="13">
        <f>SUM(F$107:F129)</f>
        <v/>
      </c>
    </row>
    <row r="132">
      <c r="A132" s="3" t="inlineStr">
        <is>
          <t>R5 AF bombeo O · P11 · lavabo</t>
        </is>
      </c>
      <c r="B132" s="3" t="inlineStr">
        <is>
          <t>Descripción</t>
        </is>
      </c>
      <c r="C132" s="3" t="inlineStr">
        <is>
          <t>Qc (l/s)</t>
        </is>
      </c>
      <c r="D132" s="3" t="inlineStr">
        <is>
          <t>Designación</t>
        </is>
      </c>
      <c r="E132" s="3" t="inlineStr">
        <is>
          <t>v (m/s)</t>
        </is>
      </c>
      <c r="F132" s="3" t="inlineStr">
        <is>
          <t>hf+hm (mca)</t>
        </is>
      </c>
      <c r="G132" s="3" t="inlineStr">
        <is>
          <t>Σ acumulada (mca)</t>
        </is>
      </c>
    </row>
    <row r="133">
      <c r="A133" s="4" t="inlineStr">
        <is>
          <t>BV0</t>
        </is>
      </c>
      <c r="B133" s="4">
        <f>INDEX(Tramos!$B$5:$B$112,MATCH(A133,Tramos!$A$5:$A$112,0))</f>
        <v/>
      </c>
      <c r="C133" s="11">
        <f>INDEX(Tramos!$K$5:$K$112,MATCH(A133,Tramos!$A$5:$A$112,0))</f>
        <v/>
      </c>
      <c r="D133" s="4">
        <f>INDEX(Tramos!$N$5:$N$112,MATCH(A133,Tramos!$A$5:$A$112,0))</f>
        <v/>
      </c>
      <c r="E133" s="13">
        <f>INDEX(Tramos!$P$5:$P$112,MATCH(A133,Tramos!$A$5:$A$112,0))</f>
        <v/>
      </c>
      <c r="F133" s="11">
        <f>INDEX(Tramos!$X$5:$X$112,MATCH(A133,Tramos!$A$5:$A$112,0))</f>
        <v/>
      </c>
      <c r="G133" s="13">
        <f>SUM(F$133:F133)</f>
        <v/>
      </c>
    </row>
    <row r="134">
      <c r="A134" s="4" t="inlineStr">
        <is>
          <t>BL1</t>
        </is>
      </c>
      <c r="B134" s="4">
        <f>INDEX(Tramos!$B$5:$B$112,MATCH(A134,Tramos!$A$5:$A$112,0))</f>
        <v/>
      </c>
      <c r="C134" s="11">
        <f>INDEX(Tramos!$K$5:$K$112,MATCH(A134,Tramos!$A$5:$A$112,0))</f>
        <v/>
      </c>
      <c r="D134" s="4">
        <f>INDEX(Tramos!$N$5:$N$112,MATCH(A134,Tramos!$A$5:$A$112,0))</f>
        <v/>
      </c>
      <c r="E134" s="13">
        <f>INDEX(Tramos!$P$5:$P$112,MATCH(A134,Tramos!$A$5:$A$112,0))</f>
        <v/>
      </c>
      <c r="F134" s="11">
        <f>INDEX(Tramos!$X$5:$X$112,MATCH(A134,Tramos!$A$5:$A$112,0))</f>
        <v/>
      </c>
      <c r="G134" s="13">
        <f>SUM(F$133:F134)</f>
        <v/>
      </c>
    </row>
    <row r="135">
      <c r="A135" s="4" t="inlineStr">
        <is>
          <t>MBL8</t>
        </is>
      </c>
      <c r="B135" s="4">
        <f>INDEX(Tramos!$B$5:$B$112,MATCH(A135,Tramos!$A$5:$A$112,0))</f>
        <v/>
      </c>
      <c r="C135" s="11">
        <f>INDEX(Tramos!$K$5:$K$112,MATCH(A135,Tramos!$A$5:$A$112,0))</f>
        <v/>
      </c>
      <c r="D135" s="4">
        <f>INDEX(Tramos!$N$5:$N$112,MATCH(A135,Tramos!$A$5:$A$112,0))</f>
        <v/>
      </c>
      <c r="E135" s="13">
        <f>INDEX(Tramos!$P$5:$P$112,MATCH(A135,Tramos!$A$5:$A$112,0))</f>
        <v/>
      </c>
      <c r="F135" s="11">
        <f>INDEX(Tramos!$X$5:$X$112,MATCH(A135,Tramos!$A$5:$A$112,0))</f>
        <v/>
      </c>
      <c r="G135" s="13">
        <f>SUM(F$133:F135)</f>
        <v/>
      </c>
    </row>
    <row r="136">
      <c r="A136" s="4" t="inlineStr">
        <is>
          <t>MBL9</t>
        </is>
      </c>
      <c r="B136" s="4">
        <f>INDEX(Tramos!$B$5:$B$112,MATCH(A136,Tramos!$A$5:$A$112,0))</f>
        <v/>
      </c>
      <c r="C136" s="11">
        <f>INDEX(Tramos!$K$5:$K$112,MATCH(A136,Tramos!$A$5:$A$112,0))</f>
        <v/>
      </c>
      <c r="D136" s="4">
        <f>INDEX(Tramos!$N$5:$N$112,MATCH(A136,Tramos!$A$5:$A$112,0))</f>
        <v/>
      </c>
      <c r="E136" s="13">
        <f>INDEX(Tramos!$P$5:$P$112,MATCH(A136,Tramos!$A$5:$A$112,0))</f>
        <v/>
      </c>
      <c r="F136" s="11">
        <f>INDEX(Tramos!$X$5:$X$112,MATCH(A136,Tramos!$A$5:$A$112,0))</f>
        <v/>
      </c>
      <c r="G136" s="13">
        <f>SUM(F$133:F136)</f>
        <v/>
      </c>
    </row>
    <row r="137">
      <c r="A137" s="4" t="inlineStr">
        <is>
          <t>MBL10</t>
        </is>
      </c>
      <c r="B137" s="4">
        <f>INDEX(Tramos!$B$5:$B$112,MATCH(A137,Tramos!$A$5:$A$112,0))</f>
        <v/>
      </c>
      <c r="C137" s="11">
        <f>INDEX(Tramos!$K$5:$K$112,MATCH(A137,Tramos!$A$5:$A$112,0))</f>
        <v/>
      </c>
      <c r="D137" s="4">
        <f>INDEX(Tramos!$N$5:$N$112,MATCH(A137,Tramos!$A$5:$A$112,0))</f>
        <v/>
      </c>
      <c r="E137" s="13">
        <f>INDEX(Tramos!$P$5:$P$112,MATCH(A137,Tramos!$A$5:$A$112,0))</f>
        <v/>
      </c>
      <c r="F137" s="11">
        <f>INDEX(Tramos!$X$5:$X$112,MATCH(A137,Tramos!$A$5:$A$112,0))</f>
        <v/>
      </c>
      <c r="G137" s="13">
        <f>SUM(F$133:F137)</f>
        <v/>
      </c>
    </row>
    <row r="138">
      <c r="A138" s="4" t="inlineStr">
        <is>
          <t>MBL11</t>
        </is>
      </c>
      <c r="B138" s="4">
        <f>INDEX(Tramos!$B$5:$B$112,MATCH(A138,Tramos!$A$5:$A$112,0))</f>
        <v/>
      </c>
      <c r="C138" s="11">
        <f>INDEX(Tramos!$K$5:$K$112,MATCH(A138,Tramos!$A$5:$A$112,0))</f>
        <v/>
      </c>
      <c r="D138" s="4">
        <f>INDEX(Tramos!$N$5:$N$112,MATCH(A138,Tramos!$A$5:$A$112,0))</f>
        <v/>
      </c>
      <c r="E138" s="13">
        <f>INDEX(Tramos!$P$5:$P$112,MATCH(A138,Tramos!$A$5:$A$112,0))</f>
        <v/>
      </c>
      <c r="F138" s="11">
        <f>INDEX(Tramos!$X$5:$X$112,MATCH(A138,Tramos!$A$5:$A$112,0))</f>
        <v/>
      </c>
      <c r="G138" s="13">
        <f>SUM(F$133:F138)</f>
        <v/>
      </c>
    </row>
    <row r="139">
      <c r="A139" s="4" t="inlineStr">
        <is>
          <t>RL1</t>
        </is>
      </c>
      <c r="B139" s="4">
        <f>INDEX(Tramos!$B$5:$B$112,MATCH(A139,Tramos!$A$5:$A$112,0))</f>
        <v/>
      </c>
      <c r="C139" s="11">
        <f>INDEX(Tramos!$K$5:$K$112,MATCH(A139,Tramos!$A$5:$A$112,0))</f>
        <v/>
      </c>
      <c r="D139" s="4">
        <f>INDEX(Tramos!$N$5:$N$112,MATCH(A139,Tramos!$A$5:$A$112,0))</f>
        <v/>
      </c>
      <c r="E139" s="13">
        <f>INDEX(Tramos!$P$5:$P$112,MATCH(A139,Tramos!$A$5:$A$112,0))</f>
        <v/>
      </c>
      <c r="F139" s="11">
        <f>INDEX(Tramos!$X$5:$X$112,MATCH(A139,Tramos!$A$5:$A$112,0))</f>
        <v/>
      </c>
      <c r="G139" s="13">
        <f>SUM(F$133:F139)</f>
        <v/>
      </c>
    </row>
    <row r="140">
      <c r="A140" s="4" t="inlineStr">
        <is>
          <t>RL2</t>
        </is>
      </c>
      <c r="B140" s="4">
        <f>INDEX(Tramos!$B$5:$B$112,MATCH(A140,Tramos!$A$5:$A$112,0))</f>
        <v/>
      </c>
      <c r="C140" s="11">
        <f>INDEX(Tramos!$K$5:$K$112,MATCH(A140,Tramos!$A$5:$A$112,0))</f>
        <v/>
      </c>
      <c r="D140" s="4">
        <f>INDEX(Tramos!$N$5:$N$112,MATCH(A140,Tramos!$A$5:$A$112,0))</f>
        <v/>
      </c>
      <c r="E140" s="13">
        <f>INDEX(Tramos!$P$5:$P$112,MATCH(A140,Tramos!$A$5:$A$112,0))</f>
        <v/>
      </c>
      <c r="F140" s="11">
        <f>INDEX(Tramos!$X$5:$X$112,MATCH(A140,Tramos!$A$5:$A$112,0))</f>
        <v/>
      </c>
      <c r="G140" s="13">
        <f>SUM(F$133:F140)</f>
        <v/>
      </c>
    </row>
    <row r="141">
      <c r="A141" s="4" t="inlineStr">
        <is>
          <t>RL3</t>
        </is>
      </c>
      <c r="B141" s="4">
        <f>INDEX(Tramos!$B$5:$B$112,MATCH(A141,Tramos!$A$5:$A$112,0))</f>
        <v/>
      </c>
      <c r="C141" s="11">
        <f>INDEX(Tramos!$K$5:$K$112,MATCH(A141,Tramos!$A$5:$A$112,0))</f>
        <v/>
      </c>
      <c r="D141" s="4">
        <f>INDEX(Tramos!$N$5:$N$112,MATCH(A141,Tramos!$A$5:$A$112,0))</f>
        <v/>
      </c>
      <c r="E141" s="13">
        <f>INDEX(Tramos!$P$5:$P$112,MATCH(A141,Tramos!$A$5:$A$112,0))</f>
        <v/>
      </c>
      <c r="F141" s="11">
        <f>INDEX(Tramos!$X$5:$X$112,MATCH(A141,Tramos!$A$5:$A$112,0))</f>
        <v/>
      </c>
      <c r="G141" s="13">
        <f>SUM(F$133:F141)</f>
        <v/>
      </c>
    </row>
    <row r="142">
      <c r="A142" s="4" t="inlineStr">
        <is>
          <t>RL4</t>
        </is>
      </c>
      <c r="B142" s="4">
        <f>INDEX(Tramos!$B$5:$B$112,MATCH(A142,Tramos!$A$5:$A$112,0))</f>
        <v/>
      </c>
      <c r="C142" s="11">
        <f>INDEX(Tramos!$K$5:$K$112,MATCH(A142,Tramos!$A$5:$A$112,0))</f>
        <v/>
      </c>
      <c r="D142" s="4">
        <f>INDEX(Tramos!$N$5:$N$112,MATCH(A142,Tramos!$A$5:$A$112,0))</f>
        <v/>
      </c>
      <c r="E142" s="13">
        <f>INDEX(Tramos!$P$5:$P$112,MATCH(A142,Tramos!$A$5:$A$112,0))</f>
        <v/>
      </c>
      <c r="F142" s="11">
        <f>INDEX(Tramos!$X$5:$X$112,MATCH(A142,Tramos!$A$5:$A$112,0))</f>
        <v/>
      </c>
      <c r="G142" s="13">
        <f>SUM(F$133:F142)</f>
        <v/>
      </c>
    </row>
    <row r="143">
      <c r="A143" s="4" t="inlineStr">
        <is>
          <t>RL5</t>
        </is>
      </c>
      <c r="B143" s="4">
        <f>INDEX(Tramos!$B$5:$B$112,MATCH(A143,Tramos!$A$5:$A$112,0))</f>
        <v/>
      </c>
      <c r="C143" s="11">
        <f>INDEX(Tramos!$K$5:$K$112,MATCH(A143,Tramos!$A$5:$A$112,0))</f>
        <v/>
      </c>
      <c r="D143" s="4">
        <f>INDEX(Tramos!$N$5:$N$112,MATCH(A143,Tramos!$A$5:$A$112,0))</f>
        <v/>
      </c>
      <c r="E143" s="13">
        <f>INDEX(Tramos!$P$5:$P$112,MATCH(A143,Tramos!$A$5:$A$112,0))</f>
        <v/>
      </c>
      <c r="F143" s="11">
        <f>INDEX(Tramos!$X$5:$X$112,MATCH(A143,Tramos!$A$5:$A$112,0))</f>
        <v/>
      </c>
      <c r="G143" s="13">
        <f>SUM(F$133:F143)</f>
        <v/>
      </c>
    </row>
    <row r="144">
      <c r="A144" s="4" t="inlineStr">
        <is>
          <t>H1</t>
        </is>
      </c>
      <c r="B144" s="4">
        <f>INDEX(Tramos!$B$5:$B$112,MATCH(A144,Tramos!$A$5:$A$112,0))</f>
        <v/>
      </c>
      <c r="C144" s="11">
        <f>INDEX(Tramos!$K$5:$K$112,MATCH(A144,Tramos!$A$5:$A$112,0))</f>
        <v/>
      </c>
      <c r="D144" s="4">
        <f>INDEX(Tramos!$N$5:$N$112,MATCH(A144,Tramos!$A$5:$A$112,0))</f>
        <v/>
      </c>
      <c r="E144" s="13">
        <f>INDEX(Tramos!$P$5:$P$112,MATCH(A144,Tramos!$A$5:$A$112,0))</f>
        <v/>
      </c>
      <c r="F144" s="11">
        <f>INDEX(Tramos!$X$5:$X$112,MATCH(A144,Tramos!$A$5:$A$112,0))</f>
        <v/>
      </c>
      <c r="G144" s="13">
        <f>SUM(F$133:F144)</f>
        <v/>
      </c>
    </row>
    <row r="145">
      <c r="A145" s="4" t="inlineStr">
        <is>
          <t>H2</t>
        </is>
      </c>
      <c r="B145" s="4">
        <f>INDEX(Tramos!$B$5:$B$112,MATCH(A145,Tramos!$A$5:$A$112,0))</f>
        <v/>
      </c>
      <c r="C145" s="11">
        <f>INDEX(Tramos!$K$5:$K$112,MATCH(A145,Tramos!$A$5:$A$112,0))</f>
        <v/>
      </c>
      <c r="D145" s="4">
        <f>INDEX(Tramos!$N$5:$N$112,MATCH(A145,Tramos!$A$5:$A$112,0))</f>
        <v/>
      </c>
      <c r="E145" s="13">
        <f>INDEX(Tramos!$P$5:$P$112,MATCH(A145,Tramos!$A$5:$A$112,0))</f>
        <v/>
      </c>
      <c r="F145" s="11">
        <f>INDEX(Tramos!$X$5:$X$112,MATCH(A145,Tramos!$A$5:$A$112,0))</f>
        <v/>
      </c>
      <c r="G145" s="13">
        <f>SUM(F$133:F145)</f>
        <v/>
      </c>
    </row>
    <row r="146">
      <c r="A146" s="4" t="inlineStr">
        <is>
          <t>H3</t>
        </is>
      </c>
      <c r="B146" s="4">
        <f>INDEX(Tramos!$B$5:$B$112,MATCH(A146,Tramos!$A$5:$A$112,0))</f>
        <v/>
      </c>
      <c r="C146" s="11">
        <f>INDEX(Tramos!$K$5:$K$112,MATCH(A146,Tramos!$A$5:$A$112,0))</f>
        <v/>
      </c>
      <c r="D146" s="4">
        <f>INDEX(Tramos!$N$5:$N$112,MATCH(A146,Tramos!$A$5:$A$112,0))</f>
        <v/>
      </c>
      <c r="E146" s="13">
        <f>INDEX(Tramos!$P$5:$P$112,MATCH(A146,Tramos!$A$5:$A$112,0))</f>
        <v/>
      </c>
      <c r="F146" s="11">
        <f>INDEX(Tramos!$X$5:$X$112,MATCH(A146,Tramos!$A$5:$A$112,0))</f>
        <v/>
      </c>
      <c r="G146" s="13">
        <f>SUM(F$133:F146)</f>
        <v/>
      </c>
    </row>
    <row r="147">
      <c r="A147" s="4" t="inlineStr">
        <is>
          <t>H4</t>
        </is>
      </c>
      <c r="B147" s="4">
        <f>INDEX(Tramos!$B$5:$B$112,MATCH(A147,Tramos!$A$5:$A$112,0))</f>
        <v/>
      </c>
      <c r="C147" s="11">
        <f>INDEX(Tramos!$K$5:$K$112,MATCH(A147,Tramos!$A$5:$A$112,0))</f>
        <v/>
      </c>
      <c r="D147" s="4">
        <f>INDEX(Tramos!$N$5:$N$112,MATCH(A147,Tramos!$A$5:$A$112,0))</f>
        <v/>
      </c>
      <c r="E147" s="13">
        <f>INDEX(Tramos!$P$5:$P$112,MATCH(A147,Tramos!$A$5:$A$112,0))</f>
        <v/>
      </c>
      <c r="F147" s="11">
        <f>INDEX(Tramos!$X$5:$X$112,MATCH(A147,Tramos!$A$5:$A$112,0))</f>
        <v/>
      </c>
      <c r="G147" s="13">
        <f>SUM(F$133:F147)</f>
        <v/>
      </c>
    </row>
    <row r="150">
      <c r="A150" s="3" t="inlineStr">
        <is>
          <t>R6 AF bombeo O · P11 · bañera</t>
        </is>
      </c>
      <c r="B150" s="3" t="inlineStr">
        <is>
          <t>Descripción</t>
        </is>
      </c>
      <c r="C150" s="3" t="inlineStr">
        <is>
          <t>Qc (l/s)</t>
        </is>
      </c>
      <c r="D150" s="3" t="inlineStr">
        <is>
          <t>Designación</t>
        </is>
      </c>
      <c r="E150" s="3" t="inlineStr">
        <is>
          <t>v (m/s)</t>
        </is>
      </c>
      <c r="F150" s="3" t="inlineStr">
        <is>
          <t>hf+hm (mca)</t>
        </is>
      </c>
      <c r="G150" s="3" t="inlineStr">
        <is>
          <t>Σ acumulada (mca)</t>
        </is>
      </c>
    </row>
    <row r="151">
      <c r="A151" s="4" t="inlineStr">
        <is>
          <t>BV0</t>
        </is>
      </c>
      <c r="B151" s="4">
        <f>INDEX(Tramos!$B$5:$B$112,MATCH(A151,Tramos!$A$5:$A$112,0))</f>
        <v/>
      </c>
      <c r="C151" s="11">
        <f>INDEX(Tramos!$K$5:$K$112,MATCH(A151,Tramos!$A$5:$A$112,0))</f>
        <v/>
      </c>
      <c r="D151" s="4">
        <f>INDEX(Tramos!$N$5:$N$112,MATCH(A151,Tramos!$A$5:$A$112,0))</f>
        <v/>
      </c>
      <c r="E151" s="13">
        <f>INDEX(Tramos!$P$5:$P$112,MATCH(A151,Tramos!$A$5:$A$112,0))</f>
        <v/>
      </c>
      <c r="F151" s="11">
        <f>INDEX(Tramos!$X$5:$X$112,MATCH(A151,Tramos!$A$5:$A$112,0))</f>
        <v/>
      </c>
      <c r="G151" s="13">
        <f>SUM(F$151:F151)</f>
        <v/>
      </c>
    </row>
    <row r="152">
      <c r="A152" s="4" t="inlineStr">
        <is>
          <t>BL1</t>
        </is>
      </c>
      <c r="B152" s="4">
        <f>INDEX(Tramos!$B$5:$B$112,MATCH(A152,Tramos!$A$5:$A$112,0))</f>
        <v/>
      </c>
      <c r="C152" s="11">
        <f>INDEX(Tramos!$K$5:$K$112,MATCH(A152,Tramos!$A$5:$A$112,0))</f>
        <v/>
      </c>
      <c r="D152" s="4">
        <f>INDEX(Tramos!$N$5:$N$112,MATCH(A152,Tramos!$A$5:$A$112,0))</f>
        <v/>
      </c>
      <c r="E152" s="13">
        <f>INDEX(Tramos!$P$5:$P$112,MATCH(A152,Tramos!$A$5:$A$112,0))</f>
        <v/>
      </c>
      <c r="F152" s="11">
        <f>INDEX(Tramos!$X$5:$X$112,MATCH(A152,Tramos!$A$5:$A$112,0))</f>
        <v/>
      </c>
      <c r="G152" s="13">
        <f>SUM(F$151:F152)</f>
        <v/>
      </c>
    </row>
    <row r="153">
      <c r="A153" s="4" t="inlineStr">
        <is>
          <t>MBL8</t>
        </is>
      </c>
      <c r="B153" s="4">
        <f>INDEX(Tramos!$B$5:$B$112,MATCH(A153,Tramos!$A$5:$A$112,0))</f>
        <v/>
      </c>
      <c r="C153" s="11">
        <f>INDEX(Tramos!$K$5:$K$112,MATCH(A153,Tramos!$A$5:$A$112,0))</f>
        <v/>
      </c>
      <c r="D153" s="4">
        <f>INDEX(Tramos!$N$5:$N$112,MATCH(A153,Tramos!$A$5:$A$112,0))</f>
        <v/>
      </c>
      <c r="E153" s="13">
        <f>INDEX(Tramos!$P$5:$P$112,MATCH(A153,Tramos!$A$5:$A$112,0))</f>
        <v/>
      </c>
      <c r="F153" s="11">
        <f>INDEX(Tramos!$X$5:$X$112,MATCH(A153,Tramos!$A$5:$A$112,0))</f>
        <v/>
      </c>
      <c r="G153" s="13">
        <f>SUM(F$151:F153)</f>
        <v/>
      </c>
    </row>
    <row r="154">
      <c r="A154" s="4" t="inlineStr">
        <is>
          <t>MBL9</t>
        </is>
      </c>
      <c r="B154" s="4">
        <f>INDEX(Tramos!$B$5:$B$112,MATCH(A154,Tramos!$A$5:$A$112,0))</f>
        <v/>
      </c>
      <c r="C154" s="11">
        <f>INDEX(Tramos!$K$5:$K$112,MATCH(A154,Tramos!$A$5:$A$112,0))</f>
        <v/>
      </c>
      <c r="D154" s="4">
        <f>INDEX(Tramos!$N$5:$N$112,MATCH(A154,Tramos!$A$5:$A$112,0))</f>
        <v/>
      </c>
      <c r="E154" s="13">
        <f>INDEX(Tramos!$P$5:$P$112,MATCH(A154,Tramos!$A$5:$A$112,0))</f>
        <v/>
      </c>
      <c r="F154" s="11">
        <f>INDEX(Tramos!$X$5:$X$112,MATCH(A154,Tramos!$A$5:$A$112,0))</f>
        <v/>
      </c>
      <c r="G154" s="13">
        <f>SUM(F$151:F154)</f>
        <v/>
      </c>
    </row>
    <row r="155">
      <c r="A155" s="4" t="inlineStr">
        <is>
          <t>MBL10</t>
        </is>
      </c>
      <c r="B155" s="4">
        <f>INDEX(Tramos!$B$5:$B$112,MATCH(A155,Tramos!$A$5:$A$112,0))</f>
        <v/>
      </c>
      <c r="C155" s="11">
        <f>INDEX(Tramos!$K$5:$K$112,MATCH(A155,Tramos!$A$5:$A$112,0))</f>
        <v/>
      </c>
      <c r="D155" s="4">
        <f>INDEX(Tramos!$N$5:$N$112,MATCH(A155,Tramos!$A$5:$A$112,0))</f>
        <v/>
      </c>
      <c r="E155" s="13">
        <f>INDEX(Tramos!$P$5:$P$112,MATCH(A155,Tramos!$A$5:$A$112,0))</f>
        <v/>
      </c>
      <c r="F155" s="11">
        <f>INDEX(Tramos!$X$5:$X$112,MATCH(A155,Tramos!$A$5:$A$112,0))</f>
        <v/>
      </c>
      <c r="G155" s="13">
        <f>SUM(F$151:F155)</f>
        <v/>
      </c>
    </row>
    <row r="156">
      <c r="A156" s="4" t="inlineStr">
        <is>
          <t>MBL11</t>
        </is>
      </c>
      <c r="B156" s="4">
        <f>INDEX(Tramos!$B$5:$B$112,MATCH(A156,Tramos!$A$5:$A$112,0))</f>
        <v/>
      </c>
      <c r="C156" s="11">
        <f>INDEX(Tramos!$K$5:$K$112,MATCH(A156,Tramos!$A$5:$A$112,0))</f>
        <v/>
      </c>
      <c r="D156" s="4">
        <f>INDEX(Tramos!$N$5:$N$112,MATCH(A156,Tramos!$A$5:$A$112,0))</f>
        <v/>
      </c>
      <c r="E156" s="13">
        <f>INDEX(Tramos!$P$5:$P$112,MATCH(A156,Tramos!$A$5:$A$112,0))</f>
        <v/>
      </c>
      <c r="F156" s="11">
        <f>INDEX(Tramos!$X$5:$X$112,MATCH(A156,Tramos!$A$5:$A$112,0))</f>
        <v/>
      </c>
      <c r="G156" s="13">
        <f>SUM(F$151:F156)</f>
        <v/>
      </c>
    </row>
    <row r="157">
      <c r="A157" s="4" t="inlineStr">
        <is>
          <t>RL1</t>
        </is>
      </c>
      <c r="B157" s="4">
        <f>INDEX(Tramos!$B$5:$B$112,MATCH(A157,Tramos!$A$5:$A$112,0))</f>
        <v/>
      </c>
      <c r="C157" s="11">
        <f>INDEX(Tramos!$K$5:$K$112,MATCH(A157,Tramos!$A$5:$A$112,0))</f>
        <v/>
      </c>
      <c r="D157" s="4">
        <f>INDEX(Tramos!$N$5:$N$112,MATCH(A157,Tramos!$A$5:$A$112,0))</f>
        <v/>
      </c>
      <c r="E157" s="13">
        <f>INDEX(Tramos!$P$5:$P$112,MATCH(A157,Tramos!$A$5:$A$112,0))</f>
        <v/>
      </c>
      <c r="F157" s="11">
        <f>INDEX(Tramos!$X$5:$X$112,MATCH(A157,Tramos!$A$5:$A$112,0))</f>
        <v/>
      </c>
      <c r="G157" s="13">
        <f>SUM(F$151:F157)</f>
        <v/>
      </c>
    </row>
    <row r="158">
      <c r="A158" s="4" t="inlineStr">
        <is>
          <t>RL2</t>
        </is>
      </c>
      <c r="B158" s="4">
        <f>INDEX(Tramos!$B$5:$B$112,MATCH(A158,Tramos!$A$5:$A$112,0))</f>
        <v/>
      </c>
      <c r="C158" s="11">
        <f>INDEX(Tramos!$K$5:$K$112,MATCH(A158,Tramos!$A$5:$A$112,0))</f>
        <v/>
      </c>
      <c r="D158" s="4">
        <f>INDEX(Tramos!$N$5:$N$112,MATCH(A158,Tramos!$A$5:$A$112,0))</f>
        <v/>
      </c>
      <c r="E158" s="13">
        <f>INDEX(Tramos!$P$5:$P$112,MATCH(A158,Tramos!$A$5:$A$112,0))</f>
        <v/>
      </c>
      <c r="F158" s="11">
        <f>INDEX(Tramos!$X$5:$X$112,MATCH(A158,Tramos!$A$5:$A$112,0))</f>
        <v/>
      </c>
      <c r="G158" s="13">
        <f>SUM(F$151:F158)</f>
        <v/>
      </c>
    </row>
    <row r="159">
      <c r="A159" s="4" t="inlineStr">
        <is>
          <t>RL3</t>
        </is>
      </c>
      <c r="B159" s="4">
        <f>INDEX(Tramos!$B$5:$B$112,MATCH(A159,Tramos!$A$5:$A$112,0))</f>
        <v/>
      </c>
      <c r="C159" s="11">
        <f>INDEX(Tramos!$K$5:$K$112,MATCH(A159,Tramos!$A$5:$A$112,0))</f>
        <v/>
      </c>
      <c r="D159" s="4">
        <f>INDEX(Tramos!$N$5:$N$112,MATCH(A159,Tramos!$A$5:$A$112,0))</f>
        <v/>
      </c>
      <c r="E159" s="13">
        <f>INDEX(Tramos!$P$5:$P$112,MATCH(A159,Tramos!$A$5:$A$112,0))</f>
        <v/>
      </c>
      <c r="F159" s="11">
        <f>INDEX(Tramos!$X$5:$X$112,MATCH(A159,Tramos!$A$5:$A$112,0))</f>
        <v/>
      </c>
      <c r="G159" s="13">
        <f>SUM(F$151:F159)</f>
        <v/>
      </c>
    </row>
    <row r="160">
      <c r="A160" s="4" t="inlineStr">
        <is>
          <t>RL4</t>
        </is>
      </c>
      <c r="B160" s="4">
        <f>INDEX(Tramos!$B$5:$B$112,MATCH(A160,Tramos!$A$5:$A$112,0))</f>
        <v/>
      </c>
      <c r="C160" s="11">
        <f>INDEX(Tramos!$K$5:$K$112,MATCH(A160,Tramos!$A$5:$A$112,0))</f>
        <v/>
      </c>
      <c r="D160" s="4">
        <f>INDEX(Tramos!$N$5:$N$112,MATCH(A160,Tramos!$A$5:$A$112,0))</f>
        <v/>
      </c>
      <c r="E160" s="13">
        <f>INDEX(Tramos!$P$5:$P$112,MATCH(A160,Tramos!$A$5:$A$112,0))</f>
        <v/>
      </c>
      <c r="F160" s="11">
        <f>INDEX(Tramos!$X$5:$X$112,MATCH(A160,Tramos!$A$5:$A$112,0))</f>
        <v/>
      </c>
      <c r="G160" s="13">
        <f>SUM(F$151:F160)</f>
        <v/>
      </c>
    </row>
    <row r="161">
      <c r="A161" s="4" t="inlineStr">
        <is>
          <t>RL5</t>
        </is>
      </c>
      <c r="B161" s="4">
        <f>INDEX(Tramos!$B$5:$B$112,MATCH(A161,Tramos!$A$5:$A$112,0))</f>
        <v/>
      </c>
      <c r="C161" s="11">
        <f>INDEX(Tramos!$K$5:$K$112,MATCH(A161,Tramos!$A$5:$A$112,0))</f>
        <v/>
      </c>
      <c r="D161" s="4">
        <f>INDEX(Tramos!$N$5:$N$112,MATCH(A161,Tramos!$A$5:$A$112,0))</f>
        <v/>
      </c>
      <c r="E161" s="13">
        <f>INDEX(Tramos!$P$5:$P$112,MATCH(A161,Tramos!$A$5:$A$112,0))</f>
        <v/>
      </c>
      <c r="F161" s="11">
        <f>INDEX(Tramos!$X$5:$X$112,MATCH(A161,Tramos!$A$5:$A$112,0))</f>
        <v/>
      </c>
      <c r="G161" s="13">
        <f>SUM(F$151:F161)</f>
        <v/>
      </c>
    </row>
    <row r="162">
      <c r="A162" s="4" t="inlineStr">
        <is>
          <t>H1</t>
        </is>
      </c>
      <c r="B162" s="4">
        <f>INDEX(Tramos!$B$5:$B$112,MATCH(A162,Tramos!$A$5:$A$112,0))</f>
        <v/>
      </c>
      <c r="C162" s="11">
        <f>INDEX(Tramos!$K$5:$K$112,MATCH(A162,Tramos!$A$5:$A$112,0))</f>
        <v/>
      </c>
      <c r="D162" s="4">
        <f>INDEX(Tramos!$N$5:$N$112,MATCH(A162,Tramos!$A$5:$A$112,0))</f>
        <v/>
      </c>
      <c r="E162" s="13">
        <f>INDEX(Tramos!$P$5:$P$112,MATCH(A162,Tramos!$A$5:$A$112,0))</f>
        <v/>
      </c>
      <c r="F162" s="11">
        <f>INDEX(Tramos!$X$5:$X$112,MATCH(A162,Tramos!$A$5:$A$112,0))</f>
        <v/>
      </c>
      <c r="G162" s="13">
        <f>SUM(F$151:F162)</f>
        <v/>
      </c>
    </row>
    <row r="163">
      <c r="A163" s="4" t="inlineStr">
        <is>
          <t>H5</t>
        </is>
      </c>
      <c r="B163" s="4">
        <f>INDEX(Tramos!$B$5:$B$112,MATCH(A163,Tramos!$A$5:$A$112,0))</f>
        <v/>
      </c>
      <c r="C163" s="11">
        <f>INDEX(Tramos!$K$5:$K$112,MATCH(A163,Tramos!$A$5:$A$112,0))</f>
        <v/>
      </c>
      <c r="D163" s="4">
        <f>INDEX(Tramos!$N$5:$N$112,MATCH(A163,Tramos!$A$5:$A$112,0))</f>
        <v/>
      </c>
      <c r="E163" s="13">
        <f>INDEX(Tramos!$P$5:$P$112,MATCH(A163,Tramos!$A$5:$A$112,0))</f>
        <v/>
      </c>
      <c r="F163" s="11">
        <f>INDEX(Tramos!$X$5:$X$112,MATCH(A163,Tramos!$A$5:$A$112,0))</f>
        <v/>
      </c>
      <c r="G163" s="13">
        <f>SUM(F$151:F163)</f>
        <v/>
      </c>
    </row>
    <row r="166">
      <c r="A166" s="3" t="inlineStr">
        <is>
          <t>R7 AF bombeo E · P11 · lavabo</t>
        </is>
      </c>
      <c r="B166" s="3" t="inlineStr">
        <is>
          <t>Descripción</t>
        </is>
      </c>
      <c r="C166" s="3" t="inlineStr">
        <is>
          <t>Qc (l/s)</t>
        </is>
      </c>
      <c r="D166" s="3" t="inlineStr">
        <is>
          <t>Designación</t>
        </is>
      </c>
      <c r="E166" s="3" t="inlineStr">
        <is>
          <t>v (m/s)</t>
        </is>
      </c>
      <c r="F166" s="3" t="inlineStr">
        <is>
          <t>hf+hm (mca)</t>
        </is>
      </c>
      <c r="G166" s="3" t="inlineStr">
        <is>
          <t>Σ acumulada (mca)</t>
        </is>
      </c>
    </row>
    <row r="167">
      <c r="A167" s="4" t="inlineStr">
        <is>
          <t>BV0</t>
        </is>
      </c>
      <c r="B167" s="4">
        <f>INDEX(Tramos!$B$5:$B$112,MATCH(A167,Tramos!$A$5:$A$112,0))</f>
        <v/>
      </c>
      <c r="C167" s="11">
        <f>INDEX(Tramos!$K$5:$K$112,MATCH(A167,Tramos!$A$5:$A$112,0))</f>
        <v/>
      </c>
      <c r="D167" s="4">
        <f>INDEX(Tramos!$N$5:$N$112,MATCH(A167,Tramos!$A$5:$A$112,0))</f>
        <v/>
      </c>
      <c r="E167" s="13">
        <f>INDEX(Tramos!$P$5:$P$112,MATCH(A167,Tramos!$A$5:$A$112,0))</f>
        <v/>
      </c>
      <c r="F167" s="11">
        <f>INDEX(Tramos!$X$5:$X$112,MATCH(A167,Tramos!$A$5:$A$112,0))</f>
        <v/>
      </c>
      <c r="G167" s="13">
        <f>SUM(F$167:F167)</f>
        <v/>
      </c>
    </row>
    <row r="168">
      <c r="A168" s="4" t="inlineStr">
        <is>
          <t>BR1</t>
        </is>
      </c>
      <c r="B168" s="4">
        <f>INDEX(Tramos!$B$5:$B$112,MATCH(A168,Tramos!$A$5:$A$112,0))</f>
        <v/>
      </c>
      <c r="C168" s="11">
        <f>INDEX(Tramos!$K$5:$K$112,MATCH(A168,Tramos!$A$5:$A$112,0))</f>
        <v/>
      </c>
      <c r="D168" s="4">
        <f>INDEX(Tramos!$N$5:$N$112,MATCH(A168,Tramos!$A$5:$A$112,0))</f>
        <v/>
      </c>
      <c r="E168" s="13">
        <f>INDEX(Tramos!$P$5:$P$112,MATCH(A168,Tramos!$A$5:$A$112,0))</f>
        <v/>
      </c>
      <c r="F168" s="11">
        <f>INDEX(Tramos!$X$5:$X$112,MATCH(A168,Tramos!$A$5:$A$112,0))</f>
        <v/>
      </c>
      <c r="G168" s="13">
        <f>SUM(F$167:F168)</f>
        <v/>
      </c>
    </row>
    <row r="169">
      <c r="A169" s="4" t="inlineStr">
        <is>
          <t>MBR8</t>
        </is>
      </c>
      <c r="B169" s="4">
        <f>INDEX(Tramos!$B$5:$B$112,MATCH(A169,Tramos!$A$5:$A$112,0))</f>
        <v/>
      </c>
      <c r="C169" s="11">
        <f>INDEX(Tramos!$K$5:$K$112,MATCH(A169,Tramos!$A$5:$A$112,0))</f>
        <v/>
      </c>
      <c r="D169" s="4">
        <f>INDEX(Tramos!$N$5:$N$112,MATCH(A169,Tramos!$A$5:$A$112,0))</f>
        <v/>
      </c>
      <c r="E169" s="13">
        <f>INDEX(Tramos!$P$5:$P$112,MATCH(A169,Tramos!$A$5:$A$112,0))</f>
        <v/>
      </c>
      <c r="F169" s="11">
        <f>INDEX(Tramos!$X$5:$X$112,MATCH(A169,Tramos!$A$5:$A$112,0))</f>
        <v/>
      </c>
      <c r="G169" s="13">
        <f>SUM(F$167:F169)</f>
        <v/>
      </c>
    </row>
    <row r="170">
      <c r="A170" s="4" t="inlineStr">
        <is>
          <t>MBR9</t>
        </is>
      </c>
      <c r="B170" s="4">
        <f>INDEX(Tramos!$B$5:$B$112,MATCH(A170,Tramos!$A$5:$A$112,0))</f>
        <v/>
      </c>
      <c r="C170" s="11">
        <f>INDEX(Tramos!$K$5:$K$112,MATCH(A170,Tramos!$A$5:$A$112,0))</f>
        <v/>
      </c>
      <c r="D170" s="4">
        <f>INDEX(Tramos!$N$5:$N$112,MATCH(A170,Tramos!$A$5:$A$112,0))</f>
        <v/>
      </c>
      <c r="E170" s="13">
        <f>INDEX(Tramos!$P$5:$P$112,MATCH(A170,Tramos!$A$5:$A$112,0))</f>
        <v/>
      </c>
      <c r="F170" s="11">
        <f>INDEX(Tramos!$X$5:$X$112,MATCH(A170,Tramos!$A$5:$A$112,0))</f>
        <v/>
      </c>
      <c r="G170" s="13">
        <f>SUM(F$167:F170)</f>
        <v/>
      </c>
    </row>
    <row r="171">
      <c r="A171" s="4" t="inlineStr">
        <is>
          <t>MBR10</t>
        </is>
      </c>
      <c r="B171" s="4">
        <f>INDEX(Tramos!$B$5:$B$112,MATCH(A171,Tramos!$A$5:$A$112,0))</f>
        <v/>
      </c>
      <c r="C171" s="11">
        <f>INDEX(Tramos!$K$5:$K$112,MATCH(A171,Tramos!$A$5:$A$112,0))</f>
        <v/>
      </c>
      <c r="D171" s="4">
        <f>INDEX(Tramos!$N$5:$N$112,MATCH(A171,Tramos!$A$5:$A$112,0))</f>
        <v/>
      </c>
      <c r="E171" s="13">
        <f>INDEX(Tramos!$P$5:$P$112,MATCH(A171,Tramos!$A$5:$A$112,0))</f>
        <v/>
      </c>
      <c r="F171" s="11">
        <f>INDEX(Tramos!$X$5:$X$112,MATCH(A171,Tramos!$A$5:$A$112,0))</f>
        <v/>
      </c>
      <c r="G171" s="13">
        <f>SUM(F$167:F171)</f>
        <v/>
      </c>
    </row>
    <row r="172">
      <c r="A172" s="4" t="inlineStr">
        <is>
          <t>MBR11</t>
        </is>
      </c>
      <c r="B172" s="4">
        <f>INDEX(Tramos!$B$5:$B$112,MATCH(A172,Tramos!$A$5:$A$112,0))</f>
        <v/>
      </c>
      <c r="C172" s="11">
        <f>INDEX(Tramos!$K$5:$K$112,MATCH(A172,Tramos!$A$5:$A$112,0))</f>
        <v/>
      </c>
      <c r="D172" s="4">
        <f>INDEX(Tramos!$N$5:$N$112,MATCH(A172,Tramos!$A$5:$A$112,0))</f>
        <v/>
      </c>
      <c r="E172" s="13">
        <f>INDEX(Tramos!$P$5:$P$112,MATCH(A172,Tramos!$A$5:$A$112,0))</f>
        <v/>
      </c>
      <c r="F172" s="11">
        <f>INDEX(Tramos!$X$5:$X$112,MATCH(A172,Tramos!$A$5:$A$112,0))</f>
        <v/>
      </c>
      <c r="G172" s="13">
        <f>SUM(F$167:F172)</f>
        <v/>
      </c>
    </row>
    <row r="173">
      <c r="A173" s="4" t="inlineStr">
        <is>
          <t>RR1</t>
        </is>
      </c>
      <c r="B173" s="4">
        <f>INDEX(Tramos!$B$5:$B$112,MATCH(A173,Tramos!$A$5:$A$112,0))</f>
        <v/>
      </c>
      <c r="C173" s="11">
        <f>INDEX(Tramos!$K$5:$K$112,MATCH(A173,Tramos!$A$5:$A$112,0))</f>
        <v/>
      </c>
      <c r="D173" s="4">
        <f>INDEX(Tramos!$N$5:$N$112,MATCH(A173,Tramos!$A$5:$A$112,0))</f>
        <v/>
      </c>
      <c r="E173" s="13">
        <f>INDEX(Tramos!$P$5:$P$112,MATCH(A173,Tramos!$A$5:$A$112,0))</f>
        <v/>
      </c>
      <c r="F173" s="11">
        <f>INDEX(Tramos!$X$5:$X$112,MATCH(A173,Tramos!$A$5:$A$112,0))</f>
        <v/>
      </c>
      <c r="G173" s="13">
        <f>SUM(F$167:F173)</f>
        <v/>
      </c>
    </row>
    <row r="174">
      <c r="A174" s="4" t="inlineStr">
        <is>
          <t>RR2</t>
        </is>
      </c>
      <c r="B174" s="4">
        <f>INDEX(Tramos!$B$5:$B$112,MATCH(A174,Tramos!$A$5:$A$112,0))</f>
        <v/>
      </c>
      <c r="C174" s="11">
        <f>INDEX(Tramos!$K$5:$K$112,MATCH(A174,Tramos!$A$5:$A$112,0))</f>
        <v/>
      </c>
      <c r="D174" s="4">
        <f>INDEX(Tramos!$N$5:$N$112,MATCH(A174,Tramos!$A$5:$A$112,0))</f>
        <v/>
      </c>
      <c r="E174" s="13">
        <f>INDEX(Tramos!$P$5:$P$112,MATCH(A174,Tramos!$A$5:$A$112,0))</f>
        <v/>
      </c>
      <c r="F174" s="11">
        <f>INDEX(Tramos!$X$5:$X$112,MATCH(A174,Tramos!$A$5:$A$112,0))</f>
        <v/>
      </c>
      <c r="G174" s="13">
        <f>SUM(F$167:F174)</f>
        <v/>
      </c>
    </row>
    <row r="175">
      <c r="A175" s="4" t="inlineStr">
        <is>
          <t>RR3</t>
        </is>
      </c>
      <c r="B175" s="4">
        <f>INDEX(Tramos!$B$5:$B$112,MATCH(A175,Tramos!$A$5:$A$112,0))</f>
        <v/>
      </c>
      <c r="C175" s="11">
        <f>INDEX(Tramos!$K$5:$K$112,MATCH(A175,Tramos!$A$5:$A$112,0))</f>
        <v/>
      </c>
      <c r="D175" s="4">
        <f>INDEX(Tramos!$N$5:$N$112,MATCH(A175,Tramos!$A$5:$A$112,0))</f>
        <v/>
      </c>
      <c r="E175" s="13">
        <f>INDEX(Tramos!$P$5:$P$112,MATCH(A175,Tramos!$A$5:$A$112,0))</f>
        <v/>
      </c>
      <c r="F175" s="11">
        <f>INDEX(Tramos!$X$5:$X$112,MATCH(A175,Tramos!$A$5:$A$112,0))</f>
        <v/>
      </c>
      <c r="G175" s="13">
        <f>SUM(F$167:F175)</f>
        <v/>
      </c>
    </row>
    <row r="176">
      <c r="A176" s="4" t="inlineStr">
        <is>
          <t>RR4</t>
        </is>
      </c>
      <c r="B176" s="4">
        <f>INDEX(Tramos!$B$5:$B$112,MATCH(A176,Tramos!$A$5:$A$112,0))</f>
        <v/>
      </c>
      <c r="C176" s="11">
        <f>INDEX(Tramos!$K$5:$K$112,MATCH(A176,Tramos!$A$5:$A$112,0))</f>
        <v/>
      </c>
      <c r="D176" s="4">
        <f>INDEX(Tramos!$N$5:$N$112,MATCH(A176,Tramos!$A$5:$A$112,0))</f>
        <v/>
      </c>
      <c r="E176" s="13">
        <f>INDEX(Tramos!$P$5:$P$112,MATCH(A176,Tramos!$A$5:$A$112,0))</f>
        <v/>
      </c>
      <c r="F176" s="11">
        <f>INDEX(Tramos!$X$5:$X$112,MATCH(A176,Tramos!$A$5:$A$112,0))</f>
        <v/>
      </c>
      <c r="G176" s="13">
        <f>SUM(F$167:F176)</f>
        <v/>
      </c>
    </row>
    <row r="177">
      <c r="A177" s="4" t="inlineStr">
        <is>
          <t>RR5</t>
        </is>
      </c>
      <c r="B177" s="4">
        <f>INDEX(Tramos!$B$5:$B$112,MATCH(A177,Tramos!$A$5:$A$112,0))</f>
        <v/>
      </c>
      <c r="C177" s="11">
        <f>INDEX(Tramos!$K$5:$K$112,MATCH(A177,Tramos!$A$5:$A$112,0))</f>
        <v/>
      </c>
      <c r="D177" s="4">
        <f>INDEX(Tramos!$N$5:$N$112,MATCH(A177,Tramos!$A$5:$A$112,0))</f>
        <v/>
      </c>
      <c r="E177" s="13">
        <f>INDEX(Tramos!$P$5:$P$112,MATCH(A177,Tramos!$A$5:$A$112,0))</f>
        <v/>
      </c>
      <c r="F177" s="11">
        <f>INDEX(Tramos!$X$5:$X$112,MATCH(A177,Tramos!$A$5:$A$112,0))</f>
        <v/>
      </c>
      <c r="G177" s="13">
        <f>SUM(F$167:F177)</f>
        <v/>
      </c>
    </row>
    <row r="178">
      <c r="A178" s="4" t="inlineStr">
        <is>
          <t>RR6</t>
        </is>
      </c>
      <c r="B178" s="4">
        <f>INDEX(Tramos!$B$5:$B$112,MATCH(A178,Tramos!$A$5:$A$112,0))</f>
        <v/>
      </c>
      <c r="C178" s="11">
        <f>INDEX(Tramos!$K$5:$K$112,MATCH(A178,Tramos!$A$5:$A$112,0))</f>
        <v/>
      </c>
      <c r="D178" s="4">
        <f>INDEX(Tramos!$N$5:$N$112,MATCH(A178,Tramos!$A$5:$A$112,0))</f>
        <v/>
      </c>
      <c r="E178" s="13">
        <f>INDEX(Tramos!$P$5:$P$112,MATCH(A178,Tramos!$A$5:$A$112,0))</f>
        <v/>
      </c>
      <c r="F178" s="11">
        <f>INDEX(Tramos!$X$5:$X$112,MATCH(A178,Tramos!$A$5:$A$112,0))</f>
        <v/>
      </c>
      <c r="G178" s="13">
        <f>SUM(F$167:F178)</f>
        <v/>
      </c>
    </row>
    <row r="179">
      <c r="A179" s="4" t="inlineStr">
        <is>
          <t>H1</t>
        </is>
      </c>
      <c r="B179" s="4">
        <f>INDEX(Tramos!$B$5:$B$112,MATCH(A179,Tramos!$A$5:$A$112,0))</f>
        <v/>
      </c>
      <c r="C179" s="11">
        <f>INDEX(Tramos!$K$5:$K$112,MATCH(A179,Tramos!$A$5:$A$112,0))</f>
        <v/>
      </c>
      <c r="D179" s="4">
        <f>INDEX(Tramos!$N$5:$N$112,MATCH(A179,Tramos!$A$5:$A$112,0))</f>
        <v/>
      </c>
      <c r="E179" s="13">
        <f>INDEX(Tramos!$P$5:$P$112,MATCH(A179,Tramos!$A$5:$A$112,0))</f>
        <v/>
      </c>
      <c r="F179" s="11">
        <f>INDEX(Tramos!$X$5:$X$112,MATCH(A179,Tramos!$A$5:$A$112,0))</f>
        <v/>
      </c>
      <c r="G179" s="13">
        <f>SUM(F$167:F179)</f>
        <v/>
      </c>
    </row>
    <row r="180">
      <c r="A180" s="4" t="inlineStr">
        <is>
          <t>H2</t>
        </is>
      </c>
      <c r="B180" s="4">
        <f>INDEX(Tramos!$B$5:$B$112,MATCH(A180,Tramos!$A$5:$A$112,0))</f>
        <v/>
      </c>
      <c r="C180" s="11">
        <f>INDEX(Tramos!$K$5:$K$112,MATCH(A180,Tramos!$A$5:$A$112,0))</f>
        <v/>
      </c>
      <c r="D180" s="4">
        <f>INDEX(Tramos!$N$5:$N$112,MATCH(A180,Tramos!$A$5:$A$112,0))</f>
        <v/>
      </c>
      <c r="E180" s="13">
        <f>INDEX(Tramos!$P$5:$P$112,MATCH(A180,Tramos!$A$5:$A$112,0))</f>
        <v/>
      </c>
      <c r="F180" s="11">
        <f>INDEX(Tramos!$X$5:$X$112,MATCH(A180,Tramos!$A$5:$A$112,0))</f>
        <v/>
      </c>
      <c r="G180" s="13">
        <f>SUM(F$167:F180)</f>
        <v/>
      </c>
    </row>
    <row r="181">
      <c r="A181" s="4" t="inlineStr">
        <is>
          <t>H3</t>
        </is>
      </c>
      <c r="B181" s="4">
        <f>INDEX(Tramos!$B$5:$B$112,MATCH(A181,Tramos!$A$5:$A$112,0))</f>
        <v/>
      </c>
      <c r="C181" s="11">
        <f>INDEX(Tramos!$K$5:$K$112,MATCH(A181,Tramos!$A$5:$A$112,0))</f>
        <v/>
      </c>
      <c r="D181" s="4">
        <f>INDEX(Tramos!$N$5:$N$112,MATCH(A181,Tramos!$A$5:$A$112,0))</f>
        <v/>
      </c>
      <c r="E181" s="13">
        <f>INDEX(Tramos!$P$5:$P$112,MATCH(A181,Tramos!$A$5:$A$112,0))</f>
        <v/>
      </c>
      <c r="F181" s="11">
        <f>INDEX(Tramos!$X$5:$X$112,MATCH(A181,Tramos!$A$5:$A$112,0))</f>
        <v/>
      </c>
      <c r="G181" s="13">
        <f>SUM(F$167:F181)</f>
        <v/>
      </c>
    </row>
    <row r="182">
      <c r="A182" s="4" t="inlineStr">
        <is>
          <t>H4</t>
        </is>
      </c>
      <c r="B182" s="4">
        <f>INDEX(Tramos!$B$5:$B$112,MATCH(A182,Tramos!$A$5:$A$112,0))</f>
        <v/>
      </c>
      <c r="C182" s="11">
        <f>INDEX(Tramos!$K$5:$K$112,MATCH(A182,Tramos!$A$5:$A$112,0))</f>
        <v/>
      </c>
      <c r="D182" s="4">
        <f>INDEX(Tramos!$N$5:$N$112,MATCH(A182,Tramos!$A$5:$A$112,0))</f>
        <v/>
      </c>
      <c r="E182" s="13">
        <f>INDEX(Tramos!$P$5:$P$112,MATCH(A182,Tramos!$A$5:$A$112,0))</f>
        <v/>
      </c>
      <c r="F182" s="11">
        <f>INDEX(Tramos!$X$5:$X$112,MATCH(A182,Tramos!$A$5:$A$112,0))</f>
        <v/>
      </c>
      <c r="G182" s="13">
        <f>SUM(F$167:F182)</f>
        <v/>
      </c>
    </row>
    <row r="185">
      <c r="A185" s="3" t="inlineStr">
        <is>
          <t>R8 AF bombeo E · P11 · bañera</t>
        </is>
      </c>
      <c r="B185" s="3" t="inlineStr">
        <is>
          <t>Descripción</t>
        </is>
      </c>
      <c r="C185" s="3" t="inlineStr">
        <is>
          <t>Qc (l/s)</t>
        </is>
      </c>
      <c r="D185" s="3" t="inlineStr">
        <is>
          <t>Designación</t>
        </is>
      </c>
      <c r="E185" s="3" t="inlineStr">
        <is>
          <t>v (m/s)</t>
        </is>
      </c>
      <c r="F185" s="3" t="inlineStr">
        <is>
          <t>hf+hm (mca)</t>
        </is>
      </c>
      <c r="G185" s="3" t="inlineStr">
        <is>
          <t>Σ acumulada (mca)</t>
        </is>
      </c>
    </row>
    <row r="186">
      <c r="A186" s="4" t="inlineStr">
        <is>
          <t>BV0</t>
        </is>
      </c>
      <c r="B186" s="4">
        <f>INDEX(Tramos!$B$5:$B$112,MATCH(A186,Tramos!$A$5:$A$112,0))</f>
        <v/>
      </c>
      <c r="C186" s="11">
        <f>INDEX(Tramos!$K$5:$K$112,MATCH(A186,Tramos!$A$5:$A$112,0))</f>
        <v/>
      </c>
      <c r="D186" s="4">
        <f>INDEX(Tramos!$N$5:$N$112,MATCH(A186,Tramos!$A$5:$A$112,0))</f>
        <v/>
      </c>
      <c r="E186" s="13">
        <f>INDEX(Tramos!$P$5:$P$112,MATCH(A186,Tramos!$A$5:$A$112,0))</f>
        <v/>
      </c>
      <c r="F186" s="11">
        <f>INDEX(Tramos!$X$5:$X$112,MATCH(A186,Tramos!$A$5:$A$112,0))</f>
        <v/>
      </c>
      <c r="G186" s="13">
        <f>SUM(F$186:F186)</f>
        <v/>
      </c>
    </row>
    <row r="187">
      <c r="A187" s="4" t="inlineStr">
        <is>
          <t>BR1</t>
        </is>
      </c>
      <c r="B187" s="4">
        <f>INDEX(Tramos!$B$5:$B$112,MATCH(A187,Tramos!$A$5:$A$112,0))</f>
        <v/>
      </c>
      <c r="C187" s="11">
        <f>INDEX(Tramos!$K$5:$K$112,MATCH(A187,Tramos!$A$5:$A$112,0))</f>
        <v/>
      </c>
      <c r="D187" s="4">
        <f>INDEX(Tramos!$N$5:$N$112,MATCH(A187,Tramos!$A$5:$A$112,0))</f>
        <v/>
      </c>
      <c r="E187" s="13">
        <f>INDEX(Tramos!$P$5:$P$112,MATCH(A187,Tramos!$A$5:$A$112,0))</f>
        <v/>
      </c>
      <c r="F187" s="11">
        <f>INDEX(Tramos!$X$5:$X$112,MATCH(A187,Tramos!$A$5:$A$112,0))</f>
        <v/>
      </c>
      <c r="G187" s="13">
        <f>SUM(F$186:F187)</f>
        <v/>
      </c>
    </row>
    <row r="188">
      <c r="A188" s="4" t="inlineStr">
        <is>
          <t>MBR8</t>
        </is>
      </c>
      <c r="B188" s="4">
        <f>INDEX(Tramos!$B$5:$B$112,MATCH(A188,Tramos!$A$5:$A$112,0))</f>
        <v/>
      </c>
      <c r="C188" s="11">
        <f>INDEX(Tramos!$K$5:$K$112,MATCH(A188,Tramos!$A$5:$A$112,0))</f>
        <v/>
      </c>
      <c r="D188" s="4">
        <f>INDEX(Tramos!$N$5:$N$112,MATCH(A188,Tramos!$A$5:$A$112,0))</f>
        <v/>
      </c>
      <c r="E188" s="13">
        <f>INDEX(Tramos!$P$5:$P$112,MATCH(A188,Tramos!$A$5:$A$112,0))</f>
        <v/>
      </c>
      <c r="F188" s="11">
        <f>INDEX(Tramos!$X$5:$X$112,MATCH(A188,Tramos!$A$5:$A$112,0))</f>
        <v/>
      </c>
      <c r="G188" s="13">
        <f>SUM(F$186:F188)</f>
        <v/>
      </c>
    </row>
    <row r="189">
      <c r="A189" s="4" t="inlineStr">
        <is>
          <t>MBR9</t>
        </is>
      </c>
      <c r="B189" s="4">
        <f>INDEX(Tramos!$B$5:$B$112,MATCH(A189,Tramos!$A$5:$A$112,0))</f>
        <v/>
      </c>
      <c r="C189" s="11">
        <f>INDEX(Tramos!$K$5:$K$112,MATCH(A189,Tramos!$A$5:$A$112,0))</f>
        <v/>
      </c>
      <c r="D189" s="4">
        <f>INDEX(Tramos!$N$5:$N$112,MATCH(A189,Tramos!$A$5:$A$112,0))</f>
        <v/>
      </c>
      <c r="E189" s="13">
        <f>INDEX(Tramos!$P$5:$P$112,MATCH(A189,Tramos!$A$5:$A$112,0))</f>
        <v/>
      </c>
      <c r="F189" s="11">
        <f>INDEX(Tramos!$X$5:$X$112,MATCH(A189,Tramos!$A$5:$A$112,0))</f>
        <v/>
      </c>
      <c r="G189" s="13">
        <f>SUM(F$186:F189)</f>
        <v/>
      </c>
    </row>
    <row r="190">
      <c r="A190" s="4" t="inlineStr">
        <is>
          <t>MBR10</t>
        </is>
      </c>
      <c r="B190" s="4">
        <f>INDEX(Tramos!$B$5:$B$112,MATCH(A190,Tramos!$A$5:$A$112,0))</f>
        <v/>
      </c>
      <c r="C190" s="11">
        <f>INDEX(Tramos!$K$5:$K$112,MATCH(A190,Tramos!$A$5:$A$112,0))</f>
        <v/>
      </c>
      <c r="D190" s="4">
        <f>INDEX(Tramos!$N$5:$N$112,MATCH(A190,Tramos!$A$5:$A$112,0))</f>
        <v/>
      </c>
      <c r="E190" s="13">
        <f>INDEX(Tramos!$P$5:$P$112,MATCH(A190,Tramos!$A$5:$A$112,0))</f>
        <v/>
      </c>
      <c r="F190" s="11">
        <f>INDEX(Tramos!$X$5:$X$112,MATCH(A190,Tramos!$A$5:$A$112,0))</f>
        <v/>
      </c>
      <c r="G190" s="13">
        <f>SUM(F$186:F190)</f>
        <v/>
      </c>
    </row>
    <row r="191">
      <c r="A191" s="4" t="inlineStr">
        <is>
          <t>MBR11</t>
        </is>
      </c>
      <c r="B191" s="4">
        <f>INDEX(Tramos!$B$5:$B$112,MATCH(A191,Tramos!$A$5:$A$112,0))</f>
        <v/>
      </c>
      <c r="C191" s="11">
        <f>INDEX(Tramos!$K$5:$K$112,MATCH(A191,Tramos!$A$5:$A$112,0))</f>
        <v/>
      </c>
      <c r="D191" s="4">
        <f>INDEX(Tramos!$N$5:$N$112,MATCH(A191,Tramos!$A$5:$A$112,0))</f>
        <v/>
      </c>
      <c r="E191" s="13">
        <f>INDEX(Tramos!$P$5:$P$112,MATCH(A191,Tramos!$A$5:$A$112,0))</f>
        <v/>
      </c>
      <c r="F191" s="11">
        <f>INDEX(Tramos!$X$5:$X$112,MATCH(A191,Tramos!$A$5:$A$112,0))</f>
        <v/>
      </c>
      <c r="G191" s="13">
        <f>SUM(F$186:F191)</f>
        <v/>
      </c>
    </row>
    <row r="192">
      <c r="A192" s="4" t="inlineStr">
        <is>
          <t>RR1</t>
        </is>
      </c>
      <c r="B192" s="4">
        <f>INDEX(Tramos!$B$5:$B$112,MATCH(A192,Tramos!$A$5:$A$112,0))</f>
        <v/>
      </c>
      <c r="C192" s="11">
        <f>INDEX(Tramos!$K$5:$K$112,MATCH(A192,Tramos!$A$5:$A$112,0))</f>
        <v/>
      </c>
      <c r="D192" s="4">
        <f>INDEX(Tramos!$N$5:$N$112,MATCH(A192,Tramos!$A$5:$A$112,0))</f>
        <v/>
      </c>
      <c r="E192" s="13">
        <f>INDEX(Tramos!$P$5:$P$112,MATCH(A192,Tramos!$A$5:$A$112,0))</f>
        <v/>
      </c>
      <c r="F192" s="11">
        <f>INDEX(Tramos!$X$5:$X$112,MATCH(A192,Tramos!$A$5:$A$112,0))</f>
        <v/>
      </c>
      <c r="G192" s="13">
        <f>SUM(F$186:F192)</f>
        <v/>
      </c>
    </row>
    <row r="193">
      <c r="A193" s="4" t="inlineStr">
        <is>
          <t>RR2</t>
        </is>
      </c>
      <c r="B193" s="4">
        <f>INDEX(Tramos!$B$5:$B$112,MATCH(A193,Tramos!$A$5:$A$112,0))</f>
        <v/>
      </c>
      <c r="C193" s="11">
        <f>INDEX(Tramos!$K$5:$K$112,MATCH(A193,Tramos!$A$5:$A$112,0))</f>
        <v/>
      </c>
      <c r="D193" s="4">
        <f>INDEX(Tramos!$N$5:$N$112,MATCH(A193,Tramos!$A$5:$A$112,0))</f>
        <v/>
      </c>
      <c r="E193" s="13">
        <f>INDEX(Tramos!$P$5:$P$112,MATCH(A193,Tramos!$A$5:$A$112,0))</f>
        <v/>
      </c>
      <c r="F193" s="11">
        <f>INDEX(Tramos!$X$5:$X$112,MATCH(A193,Tramos!$A$5:$A$112,0))</f>
        <v/>
      </c>
      <c r="G193" s="13">
        <f>SUM(F$186:F193)</f>
        <v/>
      </c>
    </row>
    <row r="194">
      <c r="A194" s="4" t="inlineStr">
        <is>
          <t>RR3</t>
        </is>
      </c>
      <c r="B194" s="4">
        <f>INDEX(Tramos!$B$5:$B$112,MATCH(A194,Tramos!$A$5:$A$112,0))</f>
        <v/>
      </c>
      <c r="C194" s="11">
        <f>INDEX(Tramos!$K$5:$K$112,MATCH(A194,Tramos!$A$5:$A$112,0))</f>
        <v/>
      </c>
      <c r="D194" s="4">
        <f>INDEX(Tramos!$N$5:$N$112,MATCH(A194,Tramos!$A$5:$A$112,0))</f>
        <v/>
      </c>
      <c r="E194" s="13">
        <f>INDEX(Tramos!$P$5:$P$112,MATCH(A194,Tramos!$A$5:$A$112,0))</f>
        <v/>
      </c>
      <c r="F194" s="11">
        <f>INDEX(Tramos!$X$5:$X$112,MATCH(A194,Tramos!$A$5:$A$112,0))</f>
        <v/>
      </c>
      <c r="G194" s="13">
        <f>SUM(F$186:F194)</f>
        <v/>
      </c>
    </row>
    <row r="195">
      <c r="A195" s="4" t="inlineStr">
        <is>
          <t>RR4</t>
        </is>
      </c>
      <c r="B195" s="4">
        <f>INDEX(Tramos!$B$5:$B$112,MATCH(A195,Tramos!$A$5:$A$112,0))</f>
        <v/>
      </c>
      <c r="C195" s="11">
        <f>INDEX(Tramos!$K$5:$K$112,MATCH(A195,Tramos!$A$5:$A$112,0))</f>
        <v/>
      </c>
      <c r="D195" s="4">
        <f>INDEX(Tramos!$N$5:$N$112,MATCH(A195,Tramos!$A$5:$A$112,0))</f>
        <v/>
      </c>
      <c r="E195" s="13">
        <f>INDEX(Tramos!$P$5:$P$112,MATCH(A195,Tramos!$A$5:$A$112,0))</f>
        <v/>
      </c>
      <c r="F195" s="11">
        <f>INDEX(Tramos!$X$5:$X$112,MATCH(A195,Tramos!$A$5:$A$112,0))</f>
        <v/>
      </c>
      <c r="G195" s="13">
        <f>SUM(F$186:F195)</f>
        <v/>
      </c>
    </row>
    <row r="196">
      <c r="A196" s="4" t="inlineStr">
        <is>
          <t>RR5</t>
        </is>
      </c>
      <c r="B196" s="4">
        <f>INDEX(Tramos!$B$5:$B$112,MATCH(A196,Tramos!$A$5:$A$112,0))</f>
        <v/>
      </c>
      <c r="C196" s="11">
        <f>INDEX(Tramos!$K$5:$K$112,MATCH(A196,Tramos!$A$5:$A$112,0))</f>
        <v/>
      </c>
      <c r="D196" s="4">
        <f>INDEX(Tramos!$N$5:$N$112,MATCH(A196,Tramos!$A$5:$A$112,0))</f>
        <v/>
      </c>
      <c r="E196" s="13">
        <f>INDEX(Tramos!$P$5:$P$112,MATCH(A196,Tramos!$A$5:$A$112,0))</f>
        <v/>
      </c>
      <c r="F196" s="11">
        <f>INDEX(Tramos!$X$5:$X$112,MATCH(A196,Tramos!$A$5:$A$112,0))</f>
        <v/>
      </c>
      <c r="G196" s="13">
        <f>SUM(F$186:F196)</f>
        <v/>
      </c>
    </row>
    <row r="197">
      <c r="A197" s="4" t="inlineStr">
        <is>
          <t>RR6</t>
        </is>
      </c>
      <c r="B197" s="4">
        <f>INDEX(Tramos!$B$5:$B$112,MATCH(A197,Tramos!$A$5:$A$112,0))</f>
        <v/>
      </c>
      <c r="C197" s="11">
        <f>INDEX(Tramos!$K$5:$K$112,MATCH(A197,Tramos!$A$5:$A$112,0))</f>
        <v/>
      </c>
      <c r="D197" s="4">
        <f>INDEX(Tramos!$N$5:$N$112,MATCH(A197,Tramos!$A$5:$A$112,0))</f>
        <v/>
      </c>
      <c r="E197" s="13">
        <f>INDEX(Tramos!$P$5:$P$112,MATCH(A197,Tramos!$A$5:$A$112,0))</f>
        <v/>
      </c>
      <c r="F197" s="11">
        <f>INDEX(Tramos!$X$5:$X$112,MATCH(A197,Tramos!$A$5:$A$112,0))</f>
        <v/>
      </c>
      <c r="G197" s="13">
        <f>SUM(F$186:F197)</f>
        <v/>
      </c>
    </row>
    <row r="198">
      <c r="A198" s="4" t="inlineStr">
        <is>
          <t>H1</t>
        </is>
      </c>
      <c r="B198" s="4">
        <f>INDEX(Tramos!$B$5:$B$112,MATCH(A198,Tramos!$A$5:$A$112,0))</f>
        <v/>
      </c>
      <c r="C198" s="11">
        <f>INDEX(Tramos!$K$5:$K$112,MATCH(A198,Tramos!$A$5:$A$112,0))</f>
        <v/>
      </c>
      <c r="D198" s="4">
        <f>INDEX(Tramos!$N$5:$N$112,MATCH(A198,Tramos!$A$5:$A$112,0))</f>
        <v/>
      </c>
      <c r="E198" s="13">
        <f>INDEX(Tramos!$P$5:$P$112,MATCH(A198,Tramos!$A$5:$A$112,0))</f>
        <v/>
      </c>
      <c r="F198" s="11">
        <f>INDEX(Tramos!$X$5:$X$112,MATCH(A198,Tramos!$A$5:$A$112,0))</f>
        <v/>
      </c>
      <c r="G198" s="13">
        <f>SUM(F$186:F198)</f>
        <v/>
      </c>
    </row>
    <row r="199">
      <c r="A199" s="4" t="inlineStr">
        <is>
          <t>H5</t>
        </is>
      </c>
      <c r="B199" s="4">
        <f>INDEX(Tramos!$B$5:$B$112,MATCH(A199,Tramos!$A$5:$A$112,0))</f>
        <v/>
      </c>
      <c r="C199" s="11">
        <f>INDEX(Tramos!$K$5:$K$112,MATCH(A199,Tramos!$A$5:$A$112,0))</f>
        <v/>
      </c>
      <c r="D199" s="4">
        <f>INDEX(Tramos!$N$5:$N$112,MATCH(A199,Tramos!$A$5:$A$112,0))</f>
        <v/>
      </c>
      <c r="E199" s="13">
        <f>INDEX(Tramos!$P$5:$P$112,MATCH(A199,Tramos!$A$5:$A$112,0))</f>
        <v/>
      </c>
      <c r="F199" s="11">
        <f>INDEX(Tramos!$X$5:$X$112,MATCH(A199,Tramos!$A$5:$A$112,0))</f>
        <v/>
      </c>
      <c r="G199" s="13">
        <f>SUM(F$186:F199)</f>
        <v/>
      </c>
    </row>
    <row r="202">
      <c r="A202" s="3" t="inlineStr">
        <is>
          <t>R9 ACS alta O · P11 · lavabo</t>
        </is>
      </c>
      <c r="B202" s="3" t="inlineStr">
        <is>
          <t>Descripción</t>
        </is>
      </c>
      <c r="C202" s="3" t="inlineStr">
        <is>
          <t>Qc (l/s)</t>
        </is>
      </c>
      <c r="D202" s="3" t="inlineStr">
        <is>
          <t>Designación</t>
        </is>
      </c>
      <c r="E202" s="3" t="inlineStr">
        <is>
          <t>v (m/s)</t>
        </is>
      </c>
      <c r="F202" s="3" t="inlineStr">
        <is>
          <t>hf+hm (mca)</t>
        </is>
      </c>
      <c r="G202" s="3" t="inlineStr">
        <is>
          <t>Σ acumulada (mca)</t>
        </is>
      </c>
    </row>
    <row r="203">
      <c r="A203" s="4" t="inlineStr">
        <is>
          <t>BV0</t>
        </is>
      </c>
      <c r="B203" s="4">
        <f>INDEX(Tramos!$B$5:$B$112,MATCH(A203,Tramos!$A$5:$A$112,0))</f>
        <v/>
      </c>
      <c r="C203" s="11">
        <f>INDEX(Tramos!$K$5:$K$112,MATCH(A203,Tramos!$A$5:$A$112,0))</f>
        <v/>
      </c>
      <c r="D203" s="4">
        <f>INDEX(Tramos!$N$5:$N$112,MATCH(A203,Tramos!$A$5:$A$112,0))</f>
        <v/>
      </c>
      <c r="E203" s="13">
        <f>INDEX(Tramos!$P$5:$P$112,MATCH(A203,Tramos!$A$5:$A$112,0))</f>
        <v/>
      </c>
      <c r="F203" s="11">
        <f>INDEX(Tramos!$X$5:$X$112,MATCH(A203,Tramos!$A$5:$A$112,0))</f>
        <v/>
      </c>
      <c r="G203" s="13">
        <f>SUM(F$203:F203)</f>
        <v/>
      </c>
    </row>
    <row r="204">
      <c r="A204" s="4" t="inlineStr">
        <is>
          <t>BC1</t>
        </is>
      </c>
      <c r="B204" s="4">
        <f>INDEX(Tramos!$B$5:$B$112,MATCH(A204,Tramos!$A$5:$A$112,0))</f>
        <v/>
      </c>
      <c r="C204" s="11">
        <f>INDEX(Tramos!$K$5:$K$112,MATCH(A204,Tramos!$A$5:$A$112,0))</f>
        <v/>
      </c>
      <c r="D204" s="4">
        <f>INDEX(Tramos!$N$5:$N$112,MATCH(A204,Tramos!$A$5:$A$112,0))</f>
        <v/>
      </c>
      <c r="E204" s="13">
        <f>INDEX(Tramos!$P$5:$P$112,MATCH(A204,Tramos!$A$5:$A$112,0))</f>
        <v/>
      </c>
      <c r="F204" s="11">
        <f>INDEX(Tramos!$X$5:$X$112,MATCH(A204,Tramos!$A$5:$A$112,0))</f>
        <v/>
      </c>
      <c r="G204" s="13">
        <f>SUM(F$203:F204)</f>
        <v/>
      </c>
    </row>
    <row r="205">
      <c r="A205" s="4" t="inlineStr">
        <is>
          <t>E5</t>
        </is>
      </c>
      <c r="B205" s="4">
        <f>INDEX(Tramos!$B$5:$B$112,MATCH(A205,Tramos!$A$5:$A$112,0))</f>
        <v/>
      </c>
      <c r="C205" s="11">
        <f>INDEX(Tramos!$K$5:$K$112,MATCH(A205,Tramos!$A$5:$A$112,0))</f>
        <v/>
      </c>
      <c r="D205" s="4">
        <f>INDEX(Tramos!$N$5:$N$112,MATCH(A205,Tramos!$A$5:$A$112,0))</f>
        <v/>
      </c>
      <c r="E205" s="13">
        <f>INDEX(Tramos!$P$5:$P$112,MATCH(A205,Tramos!$A$5:$A$112,0))</f>
        <v/>
      </c>
      <c r="F205" s="11">
        <f>INDEX(Tramos!$X$5:$X$112,MATCH(A205,Tramos!$A$5:$A$112,0))</f>
        <v/>
      </c>
      <c r="G205" s="13">
        <f>SUM(F$203:F205)</f>
        <v/>
      </c>
    </row>
    <row r="206">
      <c r="A206" s="4" t="inlineStr">
        <is>
          <t>CAL1</t>
        </is>
      </c>
      <c r="B206" s="4">
        <f>INDEX(Tramos!$B$5:$B$112,MATCH(A206,Tramos!$A$5:$A$112,0))</f>
        <v/>
      </c>
      <c r="C206" s="11">
        <f>INDEX(Tramos!$K$5:$K$112,MATCH(A206,Tramos!$A$5:$A$112,0))</f>
        <v/>
      </c>
      <c r="D206" s="4">
        <f>INDEX(Tramos!$N$5:$N$112,MATCH(A206,Tramos!$A$5:$A$112,0))</f>
        <v/>
      </c>
      <c r="E206" s="13">
        <f>INDEX(Tramos!$P$5:$P$112,MATCH(A206,Tramos!$A$5:$A$112,0))</f>
        <v/>
      </c>
      <c r="F206" s="11">
        <f>INDEX(Tramos!$X$5:$X$112,MATCH(A206,Tramos!$A$5:$A$112,0))</f>
        <v/>
      </c>
      <c r="G206" s="13">
        <f>SUM(F$203:F206)</f>
        <v/>
      </c>
    </row>
    <row r="207">
      <c r="A207" s="4" t="inlineStr">
        <is>
          <t>MCAL8</t>
        </is>
      </c>
      <c r="B207" s="4">
        <f>INDEX(Tramos!$B$5:$B$112,MATCH(A207,Tramos!$A$5:$A$112,0))</f>
        <v/>
      </c>
      <c r="C207" s="11">
        <f>INDEX(Tramos!$K$5:$K$112,MATCH(A207,Tramos!$A$5:$A$112,0))</f>
        <v/>
      </c>
      <c r="D207" s="4">
        <f>INDEX(Tramos!$N$5:$N$112,MATCH(A207,Tramos!$A$5:$A$112,0))</f>
        <v/>
      </c>
      <c r="E207" s="13">
        <f>INDEX(Tramos!$P$5:$P$112,MATCH(A207,Tramos!$A$5:$A$112,0))</f>
        <v/>
      </c>
      <c r="F207" s="11">
        <f>INDEX(Tramos!$X$5:$X$112,MATCH(A207,Tramos!$A$5:$A$112,0))</f>
        <v/>
      </c>
      <c r="G207" s="13">
        <f>SUM(F$203:F207)</f>
        <v/>
      </c>
    </row>
    <row r="208">
      <c r="A208" s="4" t="inlineStr">
        <is>
          <t>MCAL9</t>
        </is>
      </c>
      <c r="B208" s="4">
        <f>INDEX(Tramos!$B$5:$B$112,MATCH(A208,Tramos!$A$5:$A$112,0))</f>
        <v/>
      </c>
      <c r="C208" s="11">
        <f>INDEX(Tramos!$K$5:$K$112,MATCH(A208,Tramos!$A$5:$A$112,0))</f>
        <v/>
      </c>
      <c r="D208" s="4">
        <f>INDEX(Tramos!$N$5:$N$112,MATCH(A208,Tramos!$A$5:$A$112,0))</f>
        <v/>
      </c>
      <c r="E208" s="13">
        <f>INDEX(Tramos!$P$5:$P$112,MATCH(A208,Tramos!$A$5:$A$112,0))</f>
        <v/>
      </c>
      <c r="F208" s="11">
        <f>INDEX(Tramos!$X$5:$X$112,MATCH(A208,Tramos!$A$5:$A$112,0))</f>
        <v/>
      </c>
      <c r="G208" s="13">
        <f>SUM(F$203:F208)</f>
        <v/>
      </c>
    </row>
    <row r="209">
      <c r="A209" s="4" t="inlineStr">
        <is>
          <t>MCAL10</t>
        </is>
      </c>
      <c r="B209" s="4">
        <f>INDEX(Tramos!$B$5:$B$112,MATCH(A209,Tramos!$A$5:$A$112,0))</f>
        <v/>
      </c>
      <c r="C209" s="11">
        <f>INDEX(Tramos!$K$5:$K$112,MATCH(A209,Tramos!$A$5:$A$112,0))</f>
        <v/>
      </c>
      <c r="D209" s="4">
        <f>INDEX(Tramos!$N$5:$N$112,MATCH(A209,Tramos!$A$5:$A$112,0))</f>
        <v/>
      </c>
      <c r="E209" s="13">
        <f>INDEX(Tramos!$P$5:$P$112,MATCH(A209,Tramos!$A$5:$A$112,0))</f>
        <v/>
      </c>
      <c r="F209" s="11">
        <f>INDEX(Tramos!$X$5:$X$112,MATCH(A209,Tramos!$A$5:$A$112,0))</f>
        <v/>
      </c>
      <c r="G209" s="13">
        <f>SUM(F$203:F209)</f>
        <v/>
      </c>
    </row>
    <row r="210">
      <c r="A210" s="4" t="inlineStr">
        <is>
          <t>MCAL11</t>
        </is>
      </c>
      <c r="B210" s="4">
        <f>INDEX(Tramos!$B$5:$B$112,MATCH(A210,Tramos!$A$5:$A$112,0))</f>
        <v/>
      </c>
      <c r="C210" s="11">
        <f>INDEX(Tramos!$K$5:$K$112,MATCH(A210,Tramos!$A$5:$A$112,0))</f>
        <v/>
      </c>
      <c r="D210" s="4">
        <f>INDEX(Tramos!$N$5:$N$112,MATCH(A210,Tramos!$A$5:$A$112,0))</f>
        <v/>
      </c>
      <c r="E210" s="13">
        <f>INDEX(Tramos!$P$5:$P$112,MATCH(A210,Tramos!$A$5:$A$112,0))</f>
        <v/>
      </c>
      <c r="F210" s="11">
        <f>INDEX(Tramos!$X$5:$X$112,MATCH(A210,Tramos!$A$5:$A$112,0))</f>
        <v/>
      </c>
      <c r="G210" s="13">
        <f>SUM(F$203:F210)</f>
        <v/>
      </c>
    </row>
    <row r="211">
      <c r="A211" s="4" t="inlineStr">
        <is>
          <t>RL1C</t>
        </is>
      </c>
      <c r="B211" s="4">
        <f>INDEX(Tramos!$B$5:$B$112,MATCH(A211,Tramos!$A$5:$A$112,0))</f>
        <v/>
      </c>
      <c r="C211" s="11">
        <f>INDEX(Tramos!$K$5:$K$112,MATCH(A211,Tramos!$A$5:$A$112,0))</f>
        <v/>
      </c>
      <c r="D211" s="4">
        <f>INDEX(Tramos!$N$5:$N$112,MATCH(A211,Tramos!$A$5:$A$112,0))</f>
        <v/>
      </c>
      <c r="E211" s="13">
        <f>INDEX(Tramos!$P$5:$P$112,MATCH(A211,Tramos!$A$5:$A$112,0))</f>
        <v/>
      </c>
      <c r="F211" s="11">
        <f>INDEX(Tramos!$X$5:$X$112,MATCH(A211,Tramos!$A$5:$A$112,0))</f>
        <v/>
      </c>
      <c r="G211" s="13">
        <f>SUM(F$203:F211)</f>
        <v/>
      </c>
    </row>
    <row r="212">
      <c r="A212" s="4" t="inlineStr">
        <is>
          <t>RL2C</t>
        </is>
      </c>
      <c r="B212" s="4">
        <f>INDEX(Tramos!$B$5:$B$112,MATCH(A212,Tramos!$A$5:$A$112,0))</f>
        <v/>
      </c>
      <c r="C212" s="11">
        <f>INDEX(Tramos!$K$5:$K$112,MATCH(A212,Tramos!$A$5:$A$112,0))</f>
        <v/>
      </c>
      <c r="D212" s="4">
        <f>INDEX(Tramos!$N$5:$N$112,MATCH(A212,Tramos!$A$5:$A$112,0))</f>
        <v/>
      </c>
      <c r="E212" s="13">
        <f>INDEX(Tramos!$P$5:$P$112,MATCH(A212,Tramos!$A$5:$A$112,0))</f>
        <v/>
      </c>
      <c r="F212" s="11">
        <f>INDEX(Tramos!$X$5:$X$112,MATCH(A212,Tramos!$A$5:$A$112,0))</f>
        <v/>
      </c>
      <c r="G212" s="13">
        <f>SUM(F$203:F212)</f>
        <v/>
      </c>
    </row>
    <row r="213">
      <c r="A213" s="4" t="inlineStr">
        <is>
          <t>RL3C</t>
        </is>
      </c>
      <c r="B213" s="4">
        <f>INDEX(Tramos!$B$5:$B$112,MATCH(A213,Tramos!$A$5:$A$112,0))</f>
        <v/>
      </c>
      <c r="C213" s="11">
        <f>INDEX(Tramos!$K$5:$K$112,MATCH(A213,Tramos!$A$5:$A$112,0))</f>
        <v/>
      </c>
      <c r="D213" s="4">
        <f>INDEX(Tramos!$N$5:$N$112,MATCH(A213,Tramos!$A$5:$A$112,0))</f>
        <v/>
      </c>
      <c r="E213" s="13">
        <f>INDEX(Tramos!$P$5:$P$112,MATCH(A213,Tramos!$A$5:$A$112,0))</f>
        <v/>
      </c>
      <c r="F213" s="11">
        <f>INDEX(Tramos!$X$5:$X$112,MATCH(A213,Tramos!$A$5:$A$112,0))</f>
        <v/>
      </c>
      <c r="G213" s="13">
        <f>SUM(F$203:F213)</f>
        <v/>
      </c>
    </row>
    <row r="214">
      <c r="A214" s="4" t="inlineStr">
        <is>
          <t>RL4C</t>
        </is>
      </c>
      <c r="B214" s="4">
        <f>INDEX(Tramos!$B$5:$B$112,MATCH(A214,Tramos!$A$5:$A$112,0))</f>
        <v/>
      </c>
      <c r="C214" s="11">
        <f>INDEX(Tramos!$K$5:$K$112,MATCH(A214,Tramos!$A$5:$A$112,0))</f>
        <v/>
      </c>
      <c r="D214" s="4">
        <f>INDEX(Tramos!$N$5:$N$112,MATCH(A214,Tramos!$A$5:$A$112,0))</f>
        <v/>
      </c>
      <c r="E214" s="13">
        <f>INDEX(Tramos!$P$5:$P$112,MATCH(A214,Tramos!$A$5:$A$112,0))</f>
        <v/>
      </c>
      <c r="F214" s="11">
        <f>INDEX(Tramos!$X$5:$X$112,MATCH(A214,Tramos!$A$5:$A$112,0))</f>
        <v/>
      </c>
      <c r="G214" s="13">
        <f>SUM(F$203:F214)</f>
        <v/>
      </c>
    </row>
    <row r="215">
      <c r="A215" s="4" t="inlineStr">
        <is>
          <t>RL5C</t>
        </is>
      </c>
      <c r="B215" s="4">
        <f>INDEX(Tramos!$B$5:$B$112,MATCH(A215,Tramos!$A$5:$A$112,0))</f>
        <v/>
      </c>
      <c r="C215" s="11">
        <f>INDEX(Tramos!$K$5:$K$112,MATCH(A215,Tramos!$A$5:$A$112,0))</f>
        <v/>
      </c>
      <c r="D215" s="4">
        <f>INDEX(Tramos!$N$5:$N$112,MATCH(A215,Tramos!$A$5:$A$112,0))</f>
        <v/>
      </c>
      <c r="E215" s="13">
        <f>INDEX(Tramos!$P$5:$P$112,MATCH(A215,Tramos!$A$5:$A$112,0))</f>
        <v/>
      </c>
      <c r="F215" s="11">
        <f>INDEX(Tramos!$X$5:$X$112,MATCH(A215,Tramos!$A$5:$A$112,0))</f>
        <v/>
      </c>
      <c r="G215" s="13">
        <f>SUM(F$203:F215)</f>
        <v/>
      </c>
    </row>
    <row r="216">
      <c r="A216" s="4" t="inlineStr">
        <is>
          <t>HC1</t>
        </is>
      </c>
      <c r="B216" s="4">
        <f>INDEX(Tramos!$B$5:$B$112,MATCH(A216,Tramos!$A$5:$A$112,0))</f>
        <v/>
      </c>
      <c r="C216" s="11">
        <f>INDEX(Tramos!$K$5:$K$112,MATCH(A216,Tramos!$A$5:$A$112,0))</f>
        <v/>
      </c>
      <c r="D216" s="4">
        <f>INDEX(Tramos!$N$5:$N$112,MATCH(A216,Tramos!$A$5:$A$112,0))</f>
        <v/>
      </c>
      <c r="E216" s="13">
        <f>INDEX(Tramos!$P$5:$P$112,MATCH(A216,Tramos!$A$5:$A$112,0))</f>
        <v/>
      </c>
      <c r="F216" s="11">
        <f>INDEX(Tramos!$X$5:$X$112,MATCH(A216,Tramos!$A$5:$A$112,0))</f>
        <v/>
      </c>
      <c r="G216" s="13">
        <f>SUM(F$203:F216)</f>
        <v/>
      </c>
    </row>
    <row r="217">
      <c r="A217" s="4" t="inlineStr">
        <is>
          <t>HC2</t>
        </is>
      </c>
      <c r="B217" s="4">
        <f>INDEX(Tramos!$B$5:$B$112,MATCH(A217,Tramos!$A$5:$A$112,0))</f>
        <v/>
      </c>
      <c r="C217" s="11">
        <f>INDEX(Tramos!$K$5:$K$112,MATCH(A217,Tramos!$A$5:$A$112,0))</f>
        <v/>
      </c>
      <c r="D217" s="4">
        <f>INDEX(Tramos!$N$5:$N$112,MATCH(A217,Tramos!$A$5:$A$112,0))</f>
        <v/>
      </c>
      <c r="E217" s="13">
        <f>INDEX(Tramos!$P$5:$P$112,MATCH(A217,Tramos!$A$5:$A$112,0))</f>
        <v/>
      </c>
      <c r="F217" s="11">
        <f>INDEX(Tramos!$X$5:$X$112,MATCH(A217,Tramos!$A$5:$A$112,0))</f>
        <v/>
      </c>
      <c r="G217" s="13">
        <f>SUM(F$203:F217)</f>
        <v/>
      </c>
    </row>
    <row r="218">
      <c r="A218" s="4" t="inlineStr">
        <is>
          <t>HC3</t>
        </is>
      </c>
      <c r="B218" s="4">
        <f>INDEX(Tramos!$B$5:$B$112,MATCH(A218,Tramos!$A$5:$A$112,0))</f>
        <v/>
      </c>
      <c r="C218" s="11">
        <f>INDEX(Tramos!$K$5:$K$112,MATCH(A218,Tramos!$A$5:$A$112,0))</f>
        <v/>
      </c>
      <c r="D218" s="4">
        <f>INDEX(Tramos!$N$5:$N$112,MATCH(A218,Tramos!$A$5:$A$112,0))</f>
        <v/>
      </c>
      <c r="E218" s="13">
        <f>INDEX(Tramos!$P$5:$P$112,MATCH(A218,Tramos!$A$5:$A$112,0))</f>
        <v/>
      </c>
      <c r="F218" s="11">
        <f>INDEX(Tramos!$X$5:$X$112,MATCH(A218,Tramos!$A$5:$A$112,0))</f>
        <v/>
      </c>
      <c r="G218" s="13">
        <f>SUM(F$203:F218)</f>
        <v/>
      </c>
    </row>
    <row r="221">
      <c r="A221" s="3" t="inlineStr">
        <is>
          <t>R10 ACS alta O · P11 · bañera</t>
        </is>
      </c>
      <c r="B221" s="3" t="inlineStr">
        <is>
          <t>Descripción</t>
        </is>
      </c>
      <c r="C221" s="3" t="inlineStr">
        <is>
          <t>Qc (l/s)</t>
        </is>
      </c>
      <c r="D221" s="3" t="inlineStr">
        <is>
          <t>Designación</t>
        </is>
      </c>
      <c r="E221" s="3" t="inlineStr">
        <is>
          <t>v (m/s)</t>
        </is>
      </c>
      <c r="F221" s="3" t="inlineStr">
        <is>
          <t>hf+hm (mca)</t>
        </is>
      </c>
      <c r="G221" s="3" t="inlineStr">
        <is>
          <t>Σ acumulada (mca)</t>
        </is>
      </c>
    </row>
    <row r="222">
      <c r="A222" s="4" t="inlineStr">
        <is>
          <t>BV0</t>
        </is>
      </c>
      <c r="B222" s="4">
        <f>INDEX(Tramos!$B$5:$B$112,MATCH(A222,Tramos!$A$5:$A$112,0))</f>
        <v/>
      </c>
      <c r="C222" s="11">
        <f>INDEX(Tramos!$K$5:$K$112,MATCH(A222,Tramos!$A$5:$A$112,0))</f>
        <v/>
      </c>
      <c r="D222" s="4">
        <f>INDEX(Tramos!$N$5:$N$112,MATCH(A222,Tramos!$A$5:$A$112,0))</f>
        <v/>
      </c>
      <c r="E222" s="13">
        <f>INDEX(Tramos!$P$5:$P$112,MATCH(A222,Tramos!$A$5:$A$112,0))</f>
        <v/>
      </c>
      <c r="F222" s="11">
        <f>INDEX(Tramos!$X$5:$X$112,MATCH(A222,Tramos!$A$5:$A$112,0))</f>
        <v/>
      </c>
      <c r="G222" s="13">
        <f>SUM(F$222:F222)</f>
        <v/>
      </c>
    </row>
    <row r="223">
      <c r="A223" s="4" t="inlineStr">
        <is>
          <t>BC1</t>
        </is>
      </c>
      <c r="B223" s="4">
        <f>INDEX(Tramos!$B$5:$B$112,MATCH(A223,Tramos!$A$5:$A$112,0))</f>
        <v/>
      </c>
      <c r="C223" s="11">
        <f>INDEX(Tramos!$K$5:$K$112,MATCH(A223,Tramos!$A$5:$A$112,0))</f>
        <v/>
      </c>
      <c r="D223" s="4">
        <f>INDEX(Tramos!$N$5:$N$112,MATCH(A223,Tramos!$A$5:$A$112,0))</f>
        <v/>
      </c>
      <c r="E223" s="13">
        <f>INDEX(Tramos!$P$5:$P$112,MATCH(A223,Tramos!$A$5:$A$112,0))</f>
        <v/>
      </c>
      <c r="F223" s="11">
        <f>INDEX(Tramos!$X$5:$X$112,MATCH(A223,Tramos!$A$5:$A$112,0))</f>
        <v/>
      </c>
      <c r="G223" s="13">
        <f>SUM(F$222:F223)</f>
        <v/>
      </c>
    </row>
    <row r="224">
      <c r="A224" s="4" t="inlineStr">
        <is>
          <t>E5</t>
        </is>
      </c>
      <c r="B224" s="4">
        <f>INDEX(Tramos!$B$5:$B$112,MATCH(A224,Tramos!$A$5:$A$112,0))</f>
        <v/>
      </c>
      <c r="C224" s="11">
        <f>INDEX(Tramos!$K$5:$K$112,MATCH(A224,Tramos!$A$5:$A$112,0))</f>
        <v/>
      </c>
      <c r="D224" s="4">
        <f>INDEX(Tramos!$N$5:$N$112,MATCH(A224,Tramos!$A$5:$A$112,0))</f>
        <v/>
      </c>
      <c r="E224" s="13">
        <f>INDEX(Tramos!$P$5:$P$112,MATCH(A224,Tramos!$A$5:$A$112,0))</f>
        <v/>
      </c>
      <c r="F224" s="11">
        <f>INDEX(Tramos!$X$5:$X$112,MATCH(A224,Tramos!$A$5:$A$112,0))</f>
        <v/>
      </c>
      <c r="G224" s="13">
        <f>SUM(F$222:F224)</f>
        <v/>
      </c>
    </row>
    <row r="225">
      <c r="A225" s="4" t="inlineStr">
        <is>
          <t>CAL1</t>
        </is>
      </c>
      <c r="B225" s="4">
        <f>INDEX(Tramos!$B$5:$B$112,MATCH(A225,Tramos!$A$5:$A$112,0))</f>
        <v/>
      </c>
      <c r="C225" s="11">
        <f>INDEX(Tramos!$K$5:$K$112,MATCH(A225,Tramos!$A$5:$A$112,0))</f>
        <v/>
      </c>
      <c r="D225" s="4">
        <f>INDEX(Tramos!$N$5:$N$112,MATCH(A225,Tramos!$A$5:$A$112,0))</f>
        <v/>
      </c>
      <c r="E225" s="13">
        <f>INDEX(Tramos!$P$5:$P$112,MATCH(A225,Tramos!$A$5:$A$112,0))</f>
        <v/>
      </c>
      <c r="F225" s="11">
        <f>INDEX(Tramos!$X$5:$X$112,MATCH(A225,Tramos!$A$5:$A$112,0))</f>
        <v/>
      </c>
      <c r="G225" s="13">
        <f>SUM(F$222:F225)</f>
        <v/>
      </c>
    </row>
    <row r="226">
      <c r="A226" s="4" t="inlineStr">
        <is>
          <t>MCAL8</t>
        </is>
      </c>
      <c r="B226" s="4">
        <f>INDEX(Tramos!$B$5:$B$112,MATCH(A226,Tramos!$A$5:$A$112,0))</f>
        <v/>
      </c>
      <c r="C226" s="11">
        <f>INDEX(Tramos!$K$5:$K$112,MATCH(A226,Tramos!$A$5:$A$112,0))</f>
        <v/>
      </c>
      <c r="D226" s="4">
        <f>INDEX(Tramos!$N$5:$N$112,MATCH(A226,Tramos!$A$5:$A$112,0))</f>
        <v/>
      </c>
      <c r="E226" s="13">
        <f>INDEX(Tramos!$P$5:$P$112,MATCH(A226,Tramos!$A$5:$A$112,0))</f>
        <v/>
      </c>
      <c r="F226" s="11">
        <f>INDEX(Tramos!$X$5:$X$112,MATCH(A226,Tramos!$A$5:$A$112,0))</f>
        <v/>
      </c>
      <c r="G226" s="13">
        <f>SUM(F$222:F226)</f>
        <v/>
      </c>
    </row>
    <row r="227">
      <c r="A227" s="4" t="inlineStr">
        <is>
          <t>MCAL9</t>
        </is>
      </c>
      <c r="B227" s="4">
        <f>INDEX(Tramos!$B$5:$B$112,MATCH(A227,Tramos!$A$5:$A$112,0))</f>
        <v/>
      </c>
      <c r="C227" s="11">
        <f>INDEX(Tramos!$K$5:$K$112,MATCH(A227,Tramos!$A$5:$A$112,0))</f>
        <v/>
      </c>
      <c r="D227" s="4">
        <f>INDEX(Tramos!$N$5:$N$112,MATCH(A227,Tramos!$A$5:$A$112,0))</f>
        <v/>
      </c>
      <c r="E227" s="13">
        <f>INDEX(Tramos!$P$5:$P$112,MATCH(A227,Tramos!$A$5:$A$112,0))</f>
        <v/>
      </c>
      <c r="F227" s="11">
        <f>INDEX(Tramos!$X$5:$X$112,MATCH(A227,Tramos!$A$5:$A$112,0))</f>
        <v/>
      </c>
      <c r="G227" s="13">
        <f>SUM(F$222:F227)</f>
        <v/>
      </c>
    </row>
    <row r="228">
      <c r="A228" s="4" t="inlineStr">
        <is>
          <t>MCAL10</t>
        </is>
      </c>
      <c r="B228" s="4">
        <f>INDEX(Tramos!$B$5:$B$112,MATCH(A228,Tramos!$A$5:$A$112,0))</f>
        <v/>
      </c>
      <c r="C228" s="11">
        <f>INDEX(Tramos!$K$5:$K$112,MATCH(A228,Tramos!$A$5:$A$112,0))</f>
        <v/>
      </c>
      <c r="D228" s="4">
        <f>INDEX(Tramos!$N$5:$N$112,MATCH(A228,Tramos!$A$5:$A$112,0))</f>
        <v/>
      </c>
      <c r="E228" s="13">
        <f>INDEX(Tramos!$P$5:$P$112,MATCH(A228,Tramos!$A$5:$A$112,0))</f>
        <v/>
      </c>
      <c r="F228" s="11">
        <f>INDEX(Tramos!$X$5:$X$112,MATCH(A228,Tramos!$A$5:$A$112,0))</f>
        <v/>
      </c>
      <c r="G228" s="13">
        <f>SUM(F$222:F228)</f>
        <v/>
      </c>
    </row>
    <row r="229">
      <c r="A229" s="4" t="inlineStr">
        <is>
          <t>MCAL11</t>
        </is>
      </c>
      <c r="B229" s="4">
        <f>INDEX(Tramos!$B$5:$B$112,MATCH(A229,Tramos!$A$5:$A$112,0))</f>
        <v/>
      </c>
      <c r="C229" s="11">
        <f>INDEX(Tramos!$K$5:$K$112,MATCH(A229,Tramos!$A$5:$A$112,0))</f>
        <v/>
      </c>
      <c r="D229" s="4">
        <f>INDEX(Tramos!$N$5:$N$112,MATCH(A229,Tramos!$A$5:$A$112,0))</f>
        <v/>
      </c>
      <c r="E229" s="13">
        <f>INDEX(Tramos!$P$5:$P$112,MATCH(A229,Tramos!$A$5:$A$112,0))</f>
        <v/>
      </c>
      <c r="F229" s="11">
        <f>INDEX(Tramos!$X$5:$X$112,MATCH(A229,Tramos!$A$5:$A$112,0))</f>
        <v/>
      </c>
      <c r="G229" s="13">
        <f>SUM(F$222:F229)</f>
        <v/>
      </c>
    </row>
    <row r="230">
      <c r="A230" s="4" t="inlineStr">
        <is>
          <t>RL1C</t>
        </is>
      </c>
      <c r="B230" s="4">
        <f>INDEX(Tramos!$B$5:$B$112,MATCH(A230,Tramos!$A$5:$A$112,0))</f>
        <v/>
      </c>
      <c r="C230" s="11">
        <f>INDEX(Tramos!$K$5:$K$112,MATCH(A230,Tramos!$A$5:$A$112,0))</f>
        <v/>
      </c>
      <c r="D230" s="4">
        <f>INDEX(Tramos!$N$5:$N$112,MATCH(A230,Tramos!$A$5:$A$112,0))</f>
        <v/>
      </c>
      <c r="E230" s="13">
        <f>INDEX(Tramos!$P$5:$P$112,MATCH(A230,Tramos!$A$5:$A$112,0))</f>
        <v/>
      </c>
      <c r="F230" s="11">
        <f>INDEX(Tramos!$X$5:$X$112,MATCH(A230,Tramos!$A$5:$A$112,0))</f>
        <v/>
      </c>
      <c r="G230" s="13">
        <f>SUM(F$222:F230)</f>
        <v/>
      </c>
    </row>
    <row r="231">
      <c r="A231" s="4" t="inlineStr">
        <is>
          <t>RL2C</t>
        </is>
      </c>
      <c r="B231" s="4">
        <f>INDEX(Tramos!$B$5:$B$112,MATCH(A231,Tramos!$A$5:$A$112,0))</f>
        <v/>
      </c>
      <c r="C231" s="11">
        <f>INDEX(Tramos!$K$5:$K$112,MATCH(A231,Tramos!$A$5:$A$112,0))</f>
        <v/>
      </c>
      <c r="D231" s="4">
        <f>INDEX(Tramos!$N$5:$N$112,MATCH(A231,Tramos!$A$5:$A$112,0))</f>
        <v/>
      </c>
      <c r="E231" s="13">
        <f>INDEX(Tramos!$P$5:$P$112,MATCH(A231,Tramos!$A$5:$A$112,0))</f>
        <v/>
      </c>
      <c r="F231" s="11">
        <f>INDEX(Tramos!$X$5:$X$112,MATCH(A231,Tramos!$A$5:$A$112,0))</f>
        <v/>
      </c>
      <c r="G231" s="13">
        <f>SUM(F$222:F231)</f>
        <v/>
      </c>
    </row>
    <row r="232">
      <c r="A232" s="4" t="inlineStr">
        <is>
          <t>RL3C</t>
        </is>
      </c>
      <c r="B232" s="4">
        <f>INDEX(Tramos!$B$5:$B$112,MATCH(A232,Tramos!$A$5:$A$112,0))</f>
        <v/>
      </c>
      <c r="C232" s="11">
        <f>INDEX(Tramos!$K$5:$K$112,MATCH(A232,Tramos!$A$5:$A$112,0))</f>
        <v/>
      </c>
      <c r="D232" s="4">
        <f>INDEX(Tramos!$N$5:$N$112,MATCH(A232,Tramos!$A$5:$A$112,0))</f>
        <v/>
      </c>
      <c r="E232" s="13">
        <f>INDEX(Tramos!$P$5:$P$112,MATCH(A232,Tramos!$A$5:$A$112,0))</f>
        <v/>
      </c>
      <c r="F232" s="11">
        <f>INDEX(Tramos!$X$5:$X$112,MATCH(A232,Tramos!$A$5:$A$112,0))</f>
        <v/>
      </c>
      <c r="G232" s="13">
        <f>SUM(F$222:F232)</f>
        <v/>
      </c>
    </row>
    <row r="233">
      <c r="A233" s="4" t="inlineStr">
        <is>
          <t>RL4C</t>
        </is>
      </c>
      <c r="B233" s="4">
        <f>INDEX(Tramos!$B$5:$B$112,MATCH(A233,Tramos!$A$5:$A$112,0))</f>
        <v/>
      </c>
      <c r="C233" s="11">
        <f>INDEX(Tramos!$K$5:$K$112,MATCH(A233,Tramos!$A$5:$A$112,0))</f>
        <v/>
      </c>
      <c r="D233" s="4">
        <f>INDEX(Tramos!$N$5:$N$112,MATCH(A233,Tramos!$A$5:$A$112,0))</f>
        <v/>
      </c>
      <c r="E233" s="13">
        <f>INDEX(Tramos!$P$5:$P$112,MATCH(A233,Tramos!$A$5:$A$112,0))</f>
        <v/>
      </c>
      <c r="F233" s="11">
        <f>INDEX(Tramos!$X$5:$X$112,MATCH(A233,Tramos!$A$5:$A$112,0))</f>
        <v/>
      </c>
      <c r="G233" s="13">
        <f>SUM(F$222:F233)</f>
        <v/>
      </c>
    </row>
    <row r="234">
      <c r="A234" s="4" t="inlineStr">
        <is>
          <t>RL5C</t>
        </is>
      </c>
      <c r="B234" s="4">
        <f>INDEX(Tramos!$B$5:$B$112,MATCH(A234,Tramos!$A$5:$A$112,0))</f>
        <v/>
      </c>
      <c r="C234" s="11">
        <f>INDEX(Tramos!$K$5:$K$112,MATCH(A234,Tramos!$A$5:$A$112,0))</f>
        <v/>
      </c>
      <c r="D234" s="4">
        <f>INDEX(Tramos!$N$5:$N$112,MATCH(A234,Tramos!$A$5:$A$112,0))</f>
        <v/>
      </c>
      <c r="E234" s="13">
        <f>INDEX(Tramos!$P$5:$P$112,MATCH(A234,Tramos!$A$5:$A$112,0))</f>
        <v/>
      </c>
      <c r="F234" s="11">
        <f>INDEX(Tramos!$X$5:$X$112,MATCH(A234,Tramos!$A$5:$A$112,0))</f>
        <v/>
      </c>
      <c r="G234" s="13">
        <f>SUM(F$222:F234)</f>
        <v/>
      </c>
    </row>
    <row r="235">
      <c r="A235" s="4" t="inlineStr">
        <is>
          <t>HC1</t>
        </is>
      </c>
      <c r="B235" s="4">
        <f>INDEX(Tramos!$B$5:$B$112,MATCH(A235,Tramos!$A$5:$A$112,0))</f>
        <v/>
      </c>
      <c r="C235" s="11">
        <f>INDEX(Tramos!$K$5:$K$112,MATCH(A235,Tramos!$A$5:$A$112,0))</f>
        <v/>
      </c>
      <c r="D235" s="4">
        <f>INDEX(Tramos!$N$5:$N$112,MATCH(A235,Tramos!$A$5:$A$112,0))</f>
        <v/>
      </c>
      <c r="E235" s="13">
        <f>INDEX(Tramos!$P$5:$P$112,MATCH(A235,Tramos!$A$5:$A$112,0))</f>
        <v/>
      </c>
      <c r="F235" s="11">
        <f>INDEX(Tramos!$X$5:$X$112,MATCH(A235,Tramos!$A$5:$A$112,0))</f>
        <v/>
      </c>
      <c r="G235" s="13">
        <f>SUM(F$222:F235)</f>
        <v/>
      </c>
    </row>
    <row r="236">
      <c r="A236" s="4" t="inlineStr">
        <is>
          <t>HC4</t>
        </is>
      </c>
      <c r="B236" s="4">
        <f>INDEX(Tramos!$B$5:$B$112,MATCH(A236,Tramos!$A$5:$A$112,0))</f>
        <v/>
      </c>
      <c r="C236" s="11">
        <f>INDEX(Tramos!$K$5:$K$112,MATCH(A236,Tramos!$A$5:$A$112,0))</f>
        <v/>
      </c>
      <c r="D236" s="4">
        <f>INDEX(Tramos!$N$5:$N$112,MATCH(A236,Tramos!$A$5:$A$112,0))</f>
        <v/>
      </c>
      <c r="E236" s="13">
        <f>INDEX(Tramos!$P$5:$P$112,MATCH(A236,Tramos!$A$5:$A$112,0))</f>
        <v/>
      </c>
      <c r="F236" s="11">
        <f>INDEX(Tramos!$X$5:$X$112,MATCH(A236,Tramos!$A$5:$A$112,0))</f>
        <v/>
      </c>
      <c r="G236" s="13">
        <f>SUM(F$222:F236)</f>
        <v/>
      </c>
    </row>
    <row r="239">
      <c r="A239" s="3" t="inlineStr">
        <is>
          <t>R11 ACS alta E · P11 · lavabo</t>
        </is>
      </c>
      <c r="B239" s="3" t="inlineStr">
        <is>
          <t>Descripción</t>
        </is>
      </c>
      <c r="C239" s="3" t="inlineStr">
        <is>
          <t>Qc (l/s)</t>
        </is>
      </c>
      <c r="D239" s="3" t="inlineStr">
        <is>
          <t>Designación</t>
        </is>
      </c>
      <c r="E239" s="3" t="inlineStr">
        <is>
          <t>v (m/s)</t>
        </is>
      </c>
      <c r="F239" s="3" t="inlineStr">
        <is>
          <t>hf+hm (mca)</t>
        </is>
      </c>
      <c r="G239" s="3" t="inlineStr">
        <is>
          <t>Σ acumulada (mca)</t>
        </is>
      </c>
    </row>
    <row r="240">
      <c r="A240" s="4" t="inlineStr">
        <is>
          <t>BV0</t>
        </is>
      </c>
      <c r="B240" s="4">
        <f>INDEX(Tramos!$B$5:$B$112,MATCH(A240,Tramos!$A$5:$A$112,0))</f>
        <v/>
      </c>
      <c r="C240" s="11">
        <f>INDEX(Tramos!$K$5:$K$112,MATCH(A240,Tramos!$A$5:$A$112,0))</f>
        <v/>
      </c>
      <c r="D240" s="4">
        <f>INDEX(Tramos!$N$5:$N$112,MATCH(A240,Tramos!$A$5:$A$112,0))</f>
        <v/>
      </c>
      <c r="E240" s="13">
        <f>INDEX(Tramos!$P$5:$P$112,MATCH(A240,Tramos!$A$5:$A$112,0))</f>
        <v/>
      </c>
      <c r="F240" s="11">
        <f>INDEX(Tramos!$X$5:$X$112,MATCH(A240,Tramos!$A$5:$A$112,0))</f>
        <v/>
      </c>
      <c r="G240" s="13">
        <f>SUM(F$240:F240)</f>
        <v/>
      </c>
    </row>
    <row r="241">
      <c r="A241" s="4" t="inlineStr">
        <is>
          <t>BC1</t>
        </is>
      </c>
      <c r="B241" s="4">
        <f>INDEX(Tramos!$B$5:$B$112,MATCH(A241,Tramos!$A$5:$A$112,0))</f>
        <v/>
      </c>
      <c r="C241" s="11">
        <f>INDEX(Tramos!$K$5:$K$112,MATCH(A241,Tramos!$A$5:$A$112,0))</f>
        <v/>
      </c>
      <c r="D241" s="4">
        <f>INDEX(Tramos!$N$5:$N$112,MATCH(A241,Tramos!$A$5:$A$112,0))</f>
        <v/>
      </c>
      <c r="E241" s="13">
        <f>INDEX(Tramos!$P$5:$P$112,MATCH(A241,Tramos!$A$5:$A$112,0))</f>
        <v/>
      </c>
      <c r="F241" s="11">
        <f>INDEX(Tramos!$X$5:$X$112,MATCH(A241,Tramos!$A$5:$A$112,0))</f>
        <v/>
      </c>
      <c r="G241" s="13">
        <f>SUM(F$240:F241)</f>
        <v/>
      </c>
    </row>
    <row r="242">
      <c r="A242" s="4" t="inlineStr">
        <is>
          <t>E5</t>
        </is>
      </c>
      <c r="B242" s="4">
        <f>INDEX(Tramos!$B$5:$B$112,MATCH(A242,Tramos!$A$5:$A$112,0))</f>
        <v/>
      </c>
      <c r="C242" s="11">
        <f>INDEX(Tramos!$K$5:$K$112,MATCH(A242,Tramos!$A$5:$A$112,0))</f>
        <v/>
      </c>
      <c r="D242" s="4">
        <f>INDEX(Tramos!$N$5:$N$112,MATCH(A242,Tramos!$A$5:$A$112,0))</f>
        <v/>
      </c>
      <c r="E242" s="13">
        <f>INDEX(Tramos!$P$5:$P$112,MATCH(A242,Tramos!$A$5:$A$112,0))</f>
        <v/>
      </c>
      <c r="F242" s="11">
        <f>INDEX(Tramos!$X$5:$X$112,MATCH(A242,Tramos!$A$5:$A$112,0))</f>
        <v/>
      </c>
      <c r="G242" s="13">
        <f>SUM(F$240:F242)</f>
        <v/>
      </c>
    </row>
    <row r="243">
      <c r="A243" s="4" t="inlineStr">
        <is>
          <t>CAR1</t>
        </is>
      </c>
      <c r="B243" s="4">
        <f>INDEX(Tramos!$B$5:$B$112,MATCH(A243,Tramos!$A$5:$A$112,0))</f>
        <v/>
      </c>
      <c r="C243" s="11">
        <f>INDEX(Tramos!$K$5:$K$112,MATCH(A243,Tramos!$A$5:$A$112,0))</f>
        <v/>
      </c>
      <c r="D243" s="4">
        <f>INDEX(Tramos!$N$5:$N$112,MATCH(A243,Tramos!$A$5:$A$112,0))</f>
        <v/>
      </c>
      <c r="E243" s="13">
        <f>INDEX(Tramos!$P$5:$P$112,MATCH(A243,Tramos!$A$5:$A$112,0))</f>
        <v/>
      </c>
      <c r="F243" s="11">
        <f>INDEX(Tramos!$X$5:$X$112,MATCH(A243,Tramos!$A$5:$A$112,0))</f>
        <v/>
      </c>
      <c r="G243" s="13">
        <f>SUM(F$240:F243)</f>
        <v/>
      </c>
    </row>
    <row r="244">
      <c r="A244" s="4" t="inlineStr">
        <is>
          <t>MCAR8</t>
        </is>
      </c>
      <c r="B244" s="4">
        <f>INDEX(Tramos!$B$5:$B$112,MATCH(A244,Tramos!$A$5:$A$112,0))</f>
        <v/>
      </c>
      <c r="C244" s="11">
        <f>INDEX(Tramos!$K$5:$K$112,MATCH(A244,Tramos!$A$5:$A$112,0))</f>
        <v/>
      </c>
      <c r="D244" s="4">
        <f>INDEX(Tramos!$N$5:$N$112,MATCH(A244,Tramos!$A$5:$A$112,0))</f>
        <v/>
      </c>
      <c r="E244" s="13">
        <f>INDEX(Tramos!$P$5:$P$112,MATCH(A244,Tramos!$A$5:$A$112,0))</f>
        <v/>
      </c>
      <c r="F244" s="11">
        <f>INDEX(Tramos!$X$5:$X$112,MATCH(A244,Tramos!$A$5:$A$112,0))</f>
        <v/>
      </c>
      <c r="G244" s="13">
        <f>SUM(F$240:F244)</f>
        <v/>
      </c>
    </row>
    <row r="245">
      <c r="A245" s="4" t="inlineStr">
        <is>
          <t>MCAR9</t>
        </is>
      </c>
      <c r="B245" s="4">
        <f>INDEX(Tramos!$B$5:$B$112,MATCH(A245,Tramos!$A$5:$A$112,0))</f>
        <v/>
      </c>
      <c r="C245" s="11">
        <f>INDEX(Tramos!$K$5:$K$112,MATCH(A245,Tramos!$A$5:$A$112,0))</f>
        <v/>
      </c>
      <c r="D245" s="4">
        <f>INDEX(Tramos!$N$5:$N$112,MATCH(A245,Tramos!$A$5:$A$112,0))</f>
        <v/>
      </c>
      <c r="E245" s="13">
        <f>INDEX(Tramos!$P$5:$P$112,MATCH(A245,Tramos!$A$5:$A$112,0))</f>
        <v/>
      </c>
      <c r="F245" s="11">
        <f>INDEX(Tramos!$X$5:$X$112,MATCH(A245,Tramos!$A$5:$A$112,0))</f>
        <v/>
      </c>
      <c r="G245" s="13">
        <f>SUM(F$240:F245)</f>
        <v/>
      </c>
    </row>
    <row r="246">
      <c r="A246" s="4" t="inlineStr">
        <is>
          <t>MCAR10</t>
        </is>
      </c>
      <c r="B246" s="4">
        <f>INDEX(Tramos!$B$5:$B$112,MATCH(A246,Tramos!$A$5:$A$112,0))</f>
        <v/>
      </c>
      <c r="C246" s="11">
        <f>INDEX(Tramos!$K$5:$K$112,MATCH(A246,Tramos!$A$5:$A$112,0))</f>
        <v/>
      </c>
      <c r="D246" s="4">
        <f>INDEX(Tramos!$N$5:$N$112,MATCH(A246,Tramos!$A$5:$A$112,0))</f>
        <v/>
      </c>
      <c r="E246" s="13">
        <f>INDEX(Tramos!$P$5:$P$112,MATCH(A246,Tramos!$A$5:$A$112,0))</f>
        <v/>
      </c>
      <c r="F246" s="11">
        <f>INDEX(Tramos!$X$5:$X$112,MATCH(A246,Tramos!$A$5:$A$112,0))</f>
        <v/>
      </c>
      <c r="G246" s="13">
        <f>SUM(F$240:F246)</f>
        <v/>
      </c>
    </row>
    <row r="247">
      <c r="A247" s="4" t="inlineStr">
        <is>
          <t>MCAR11</t>
        </is>
      </c>
      <c r="B247" s="4">
        <f>INDEX(Tramos!$B$5:$B$112,MATCH(A247,Tramos!$A$5:$A$112,0))</f>
        <v/>
      </c>
      <c r="C247" s="11">
        <f>INDEX(Tramos!$K$5:$K$112,MATCH(A247,Tramos!$A$5:$A$112,0))</f>
        <v/>
      </c>
      <c r="D247" s="4">
        <f>INDEX(Tramos!$N$5:$N$112,MATCH(A247,Tramos!$A$5:$A$112,0))</f>
        <v/>
      </c>
      <c r="E247" s="13">
        <f>INDEX(Tramos!$P$5:$P$112,MATCH(A247,Tramos!$A$5:$A$112,0))</f>
        <v/>
      </c>
      <c r="F247" s="11">
        <f>INDEX(Tramos!$X$5:$X$112,MATCH(A247,Tramos!$A$5:$A$112,0))</f>
        <v/>
      </c>
      <c r="G247" s="13">
        <f>SUM(F$240:F247)</f>
        <v/>
      </c>
    </row>
    <row r="248">
      <c r="A248" s="4" t="inlineStr">
        <is>
          <t>RR1C</t>
        </is>
      </c>
      <c r="B248" s="4">
        <f>INDEX(Tramos!$B$5:$B$112,MATCH(A248,Tramos!$A$5:$A$112,0))</f>
        <v/>
      </c>
      <c r="C248" s="11">
        <f>INDEX(Tramos!$K$5:$K$112,MATCH(A248,Tramos!$A$5:$A$112,0))</f>
        <v/>
      </c>
      <c r="D248" s="4">
        <f>INDEX(Tramos!$N$5:$N$112,MATCH(A248,Tramos!$A$5:$A$112,0))</f>
        <v/>
      </c>
      <c r="E248" s="13">
        <f>INDEX(Tramos!$P$5:$P$112,MATCH(A248,Tramos!$A$5:$A$112,0))</f>
        <v/>
      </c>
      <c r="F248" s="11">
        <f>INDEX(Tramos!$X$5:$X$112,MATCH(A248,Tramos!$A$5:$A$112,0))</f>
        <v/>
      </c>
      <c r="G248" s="13">
        <f>SUM(F$240:F248)</f>
        <v/>
      </c>
    </row>
    <row r="249">
      <c r="A249" s="4" t="inlineStr">
        <is>
          <t>RR2C</t>
        </is>
      </c>
      <c r="B249" s="4">
        <f>INDEX(Tramos!$B$5:$B$112,MATCH(A249,Tramos!$A$5:$A$112,0))</f>
        <v/>
      </c>
      <c r="C249" s="11">
        <f>INDEX(Tramos!$K$5:$K$112,MATCH(A249,Tramos!$A$5:$A$112,0))</f>
        <v/>
      </c>
      <c r="D249" s="4">
        <f>INDEX(Tramos!$N$5:$N$112,MATCH(A249,Tramos!$A$5:$A$112,0))</f>
        <v/>
      </c>
      <c r="E249" s="13">
        <f>INDEX(Tramos!$P$5:$P$112,MATCH(A249,Tramos!$A$5:$A$112,0))</f>
        <v/>
      </c>
      <c r="F249" s="11">
        <f>INDEX(Tramos!$X$5:$X$112,MATCH(A249,Tramos!$A$5:$A$112,0))</f>
        <v/>
      </c>
      <c r="G249" s="13">
        <f>SUM(F$240:F249)</f>
        <v/>
      </c>
    </row>
    <row r="250">
      <c r="A250" s="4" t="inlineStr">
        <is>
          <t>RR3C</t>
        </is>
      </c>
      <c r="B250" s="4">
        <f>INDEX(Tramos!$B$5:$B$112,MATCH(A250,Tramos!$A$5:$A$112,0))</f>
        <v/>
      </c>
      <c r="C250" s="11">
        <f>INDEX(Tramos!$K$5:$K$112,MATCH(A250,Tramos!$A$5:$A$112,0))</f>
        <v/>
      </c>
      <c r="D250" s="4">
        <f>INDEX(Tramos!$N$5:$N$112,MATCH(A250,Tramos!$A$5:$A$112,0))</f>
        <v/>
      </c>
      <c r="E250" s="13">
        <f>INDEX(Tramos!$P$5:$P$112,MATCH(A250,Tramos!$A$5:$A$112,0))</f>
        <v/>
      </c>
      <c r="F250" s="11">
        <f>INDEX(Tramos!$X$5:$X$112,MATCH(A250,Tramos!$A$5:$A$112,0))</f>
        <v/>
      </c>
      <c r="G250" s="13">
        <f>SUM(F$240:F250)</f>
        <v/>
      </c>
    </row>
    <row r="251">
      <c r="A251" s="4" t="inlineStr">
        <is>
          <t>RR4C</t>
        </is>
      </c>
      <c r="B251" s="4">
        <f>INDEX(Tramos!$B$5:$B$112,MATCH(A251,Tramos!$A$5:$A$112,0))</f>
        <v/>
      </c>
      <c r="C251" s="11">
        <f>INDEX(Tramos!$K$5:$K$112,MATCH(A251,Tramos!$A$5:$A$112,0))</f>
        <v/>
      </c>
      <c r="D251" s="4">
        <f>INDEX(Tramos!$N$5:$N$112,MATCH(A251,Tramos!$A$5:$A$112,0))</f>
        <v/>
      </c>
      <c r="E251" s="13">
        <f>INDEX(Tramos!$P$5:$P$112,MATCH(A251,Tramos!$A$5:$A$112,0))</f>
        <v/>
      </c>
      <c r="F251" s="11">
        <f>INDEX(Tramos!$X$5:$X$112,MATCH(A251,Tramos!$A$5:$A$112,0))</f>
        <v/>
      </c>
      <c r="G251" s="13">
        <f>SUM(F$240:F251)</f>
        <v/>
      </c>
    </row>
    <row r="252">
      <c r="A252" s="4" t="inlineStr">
        <is>
          <t>RR5C</t>
        </is>
      </c>
      <c r="B252" s="4">
        <f>INDEX(Tramos!$B$5:$B$112,MATCH(A252,Tramos!$A$5:$A$112,0))</f>
        <v/>
      </c>
      <c r="C252" s="11">
        <f>INDEX(Tramos!$K$5:$K$112,MATCH(A252,Tramos!$A$5:$A$112,0))</f>
        <v/>
      </c>
      <c r="D252" s="4">
        <f>INDEX(Tramos!$N$5:$N$112,MATCH(A252,Tramos!$A$5:$A$112,0))</f>
        <v/>
      </c>
      <c r="E252" s="13">
        <f>INDEX(Tramos!$P$5:$P$112,MATCH(A252,Tramos!$A$5:$A$112,0))</f>
        <v/>
      </c>
      <c r="F252" s="11">
        <f>INDEX(Tramos!$X$5:$X$112,MATCH(A252,Tramos!$A$5:$A$112,0))</f>
        <v/>
      </c>
      <c r="G252" s="13">
        <f>SUM(F$240:F252)</f>
        <v/>
      </c>
    </row>
    <row r="253">
      <c r="A253" s="4" t="inlineStr">
        <is>
          <t>RR6C</t>
        </is>
      </c>
      <c r="B253" s="4">
        <f>INDEX(Tramos!$B$5:$B$112,MATCH(A253,Tramos!$A$5:$A$112,0))</f>
        <v/>
      </c>
      <c r="C253" s="11">
        <f>INDEX(Tramos!$K$5:$K$112,MATCH(A253,Tramos!$A$5:$A$112,0))</f>
        <v/>
      </c>
      <c r="D253" s="4">
        <f>INDEX(Tramos!$N$5:$N$112,MATCH(A253,Tramos!$A$5:$A$112,0))</f>
        <v/>
      </c>
      <c r="E253" s="13">
        <f>INDEX(Tramos!$P$5:$P$112,MATCH(A253,Tramos!$A$5:$A$112,0))</f>
        <v/>
      </c>
      <c r="F253" s="11">
        <f>INDEX(Tramos!$X$5:$X$112,MATCH(A253,Tramos!$A$5:$A$112,0))</f>
        <v/>
      </c>
      <c r="G253" s="13">
        <f>SUM(F$240:F253)</f>
        <v/>
      </c>
    </row>
    <row r="254">
      <c r="A254" s="4" t="inlineStr">
        <is>
          <t>HC1</t>
        </is>
      </c>
      <c r="B254" s="4">
        <f>INDEX(Tramos!$B$5:$B$112,MATCH(A254,Tramos!$A$5:$A$112,0))</f>
        <v/>
      </c>
      <c r="C254" s="11">
        <f>INDEX(Tramos!$K$5:$K$112,MATCH(A254,Tramos!$A$5:$A$112,0))</f>
        <v/>
      </c>
      <c r="D254" s="4">
        <f>INDEX(Tramos!$N$5:$N$112,MATCH(A254,Tramos!$A$5:$A$112,0))</f>
        <v/>
      </c>
      <c r="E254" s="13">
        <f>INDEX(Tramos!$P$5:$P$112,MATCH(A254,Tramos!$A$5:$A$112,0))</f>
        <v/>
      </c>
      <c r="F254" s="11">
        <f>INDEX(Tramos!$X$5:$X$112,MATCH(A254,Tramos!$A$5:$A$112,0))</f>
        <v/>
      </c>
      <c r="G254" s="13">
        <f>SUM(F$240:F254)</f>
        <v/>
      </c>
    </row>
    <row r="255">
      <c r="A255" s="4" t="inlineStr">
        <is>
          <t>HC2</t>
        </is>
      </c>
      <c r="B255" s="4">
        <f>INDEX(Tramos!$B$5:$B$112,MATCH(A255,Tramos!$A$5:$A$112,0))</f>
        <v/>
      </c>
      <c r="C255" s="11">
        <f>INDEX(Tramos!$K$5:$K$112,MATCH(A255,Tramos!$A$5:$A$112,0))</f>
        <v/>
      </c>
      <c r="D255" s="4">
        <f>INDEX(Tramos!$N$5:$N$112,MATCH(A255,Tramos!$A$5:$A$112,0))</f>
        <v/>
      </c>
      <c r="E255" s="13">
        <f>INDEX(Tramos!$P$5:$P$112,MATCH(A255,Tramos!$A$5:$A$112,0))</f>
        <v/>
      </c>
      <c r="F255" s="11">
        <f>INDEX(Tramos!$X$5:$X$112,MATCH(A255,Tramos!$A$5:$A$112,0))</f>
        <v/>
      </c>
      <c r="G255" s="13">
        <f>SUM(F$240:F255)</f>
        <v/>
      </c>
    </row>
    <row r="256">
      <c r="A256" s="4" t="inlineStr">
        <is>
          <t>HC3</t>
        </is>
      </c>
      <c r="B256" s="4">
        <f>INDEX(Tramos!$B$5:$B$112,MATCH(A256,Tramos!$A$5:$A$112,0))</f>
        <v/>
      </c>
      <c r="C256" s="11">
        <f>INDEX(Tramos!$K$5:$K$112,MATCH(A256,Tramos!$A$5:$A$112,0))</f>
        <v/>
      </c>
      <c r="D256" s="4">
        <f>INDEX(Tramos!$N$5:$N$112,MATCH(A256,Tramos!$A$5:$A$112,0))</f>
        <v/>
      </c>
      <c r="E256" s="13">
        <f>INDEX(Tramos!$P$5:$P$112,MATCH(A256,Tramos!$A$5:$A$112,0))</f>
        <v/>
      </c>
      <c r="F256" s="11">
        <f>INDEX(Tramos!$X$5:$X$112,MATCH(A256,Tramos!$A$5:$A$112,0))</f>
        <v/>
      </c>
      <c r="G256" s="13">
        <f>SUM(F$240:F256)</f>
        <v/>
      </c>
    </row>
    <row r="259">
      <c r="A259" s="3" t="inlineStr">
        <is>
          <t>R12 ACS alta E · P11 · bañera</t>
        </is>
      </c>
      <c r="B259" s="3" t="inlineStr">
        <is>
          <t>Descripción</t>
        </is>
      </c>
      <c r="C259" s="3" t="inlineStr">
        <is>
          <t>Qc (l/s)</t>
        </is>
      </c>
      <c r="D259" s="3" t="inlineStr">
        <is>
          <t>Designación</t>
        </is>
      </c>
      <c r="E259" s="3" t="inlineStr">
        <is>
          <t>v (m/s)</t>
        </is>
      </c>
      <c r="F259" s="3" t="inlineStr">
        <is>
          <t>hf+hm (mca)</t>
        </is>
      </c>
      <c r="G259" s="3" t="inlineStr">
        <is>
          <t>Σ acumulada (mca)</t>
        </is>
      </c>
    </row>
    <row r="260">
      <c r="A260" s="4" t="inlineStr">
        <is>
          <t>BV0</t>
        </is>
      </c>
      <c r="B260" s="4">
        <f>INDEX(Tramos!$B$5:$B$112,MATCH(A260,Tramos!$A$5:$A$112,0))</f>
        <v/>
      </c>
      <c r="C260" s="11">
        <f>INDEX(Tramos!$K$5:$K$112,MATCH(A260,Tramos!$A$5:$A$112,0))</f>
        <v/>
      </c>
      <c r="D260" s="4">
        <f>INDEX(Tramos!$N$5:$N$112,MATCH(A260,Tramos!$A$5:$A$112,0))</f>
        <v/>
      </c>
      <c r="E260" s="13">
        <f>INDEX(Tramos!$P$5:$P$112,MATCH(A260,Tramos!$A$5:$A$112,0))</f>
        <v/>
      </c>
      <c r="F260" s="11">
        <f>INDEX(Tramos!$X$5:$X$112,MATCH(A260,Tramos!$A$5:$A$112,0))</f>
        <v/>
      </c>
      <c r="G260" s="13">
        <f>SUM(F$260:F260)</f>
        <v/>
      </c>
    </row>
    <row r="261">
      <c r="A261" s="4" t="inlineStr">
        <is>
          <t>BC1</t>
        </is>
      </c>
      <c r="B261" s="4">
        <f>INDEX(Tramos!$B$5:$B$112,MATCH(A261,Tramos!$A$5:$A$112,0))</f>
        <v/>
      </c>
      <c r="C261" s="11">
        <f>INDEX(Tramos!$K$5:$K$112,MATCH(A261,Tramos!$A$5:$A$112,0))</f>
        <v/>
      </c>
      <c r="D261" s="4">
        <f>INDEX(Tramos!$N$5:$N$112,MATCH(A261,Tramos!$A$5:$A$112,0))</f>
        <v/>
      </c>
      <c r="E261" s="13">
        <f>INDEX(Tramos!$P$5:$P$112,MATCH(A261,Tramos!$A$5:$A$112,0))</f>
        <v/>
      </c>
      <c r="F261" s="11">
        <f>INDEX(Tramos!$X$5:$X$112,MATCH(A261,Tramos!$A$5:$A$112,0))</f>
        <v/>
      </c>
      <c r="G261" s="13">
        <f>SUM(F$260:F261)</f>
        <v/>
      </c>
    </row>
    <row r="262">
      <c r="A262" s="4" t="inlineStr">
        <is>
          <t>E5</t>
        </is>
      </c>
      <c r="B262" s="4">
        <f>INDEX(Tramos!$B$5:$B$112,MATCH(A262,Tramos!$A$5:$A$112,0))</f>
        <v/>
      </c>
      <c r="C262" s="11">
        <f>INDEX(Tramos!$K$5:$K$112,MATCH(A262,Tramos!$A$5:$A$112,0))</f>
        <v/>
      </c>
      <c r="D262" s="4">
        <f>INDEX(Tramos!$N$5:$N$112,MATCH(A262,Tramos!$A$5:$A$112,0))</f>
        <v/>
      </c>
      <c r="E262" s="13">
        <f>INDEX(Tramos!$P$5:$P$112,MATCH(A262,Tramos!$A$5:$A$112,0))</f>
        <v/>
      </c>
      <c r="F262" s="11">
        <f>INDEX(Tramos!$X$5:$X$112,MATCH(A262,Tramos!$A$5:$A$112,0))</f>
        <v/>
      </c>
      <c r="G262" s="13">
        <f>SUM(F$260:F262)</f>
        <v/>
      </c>
    </row>
    <row r="263">
      <c r="A263" s="4" t="inlineStr">
        <is>
          <t>CAR1</t>
        </is>
      </c>
      <c r="B263" s="4">
        <f>INDEX(Tramos!$B$5:$B$112,MATCH(A263,Tramos!$A$5:$A$112,0))</f>
        <v/>
      </c>
      <c r="C263" s="11">
        <f>INDEX(Tramos!$K$5:$K$112,MATCH(A263,Tramos!$A$5:$A$112,0))</f>
        <v/>
      </c>
      <c r="D263" s="4">
        <f>INDEX(Tramos!$N$5:$N$112,MATCH(A263,Tramos!$A$5:$A$112,0))</f>
        <v/>
      </c>
      <c r="E263" s="13">
        <f>INDEX(Tramos!$P$5:$P$112,MATCH(A263,Tramos!$A$5:$A$112,0))</f>
        <v/>
      </c>
      <c r="F263" s="11">
        <f>INDEX(Tramos!$X$5:$X$112,MATCH(A263,Tramos!$A$5:$A$112,0))</f>
        <v/>
      </c>
      <c r="G263" s="13">
        <f>SUM(F$260:F263)</f>
        <v/>
      </c>
    </row>
    <row r="264">
      <c r="A264" s="4" t="inlineStr">
        <is>
          <t>MCAR8</t>
        </is>
      </c>
      <c r="B264" s="4">
        <f>INDEX(Tramos!$B$5:$B$112,MATCH(A264,Tramos!$A$5:$A$112,0))</f>
        <v/>
      </c>
      <c r="C264" s="11">
        <f>INDEX(Tramos!$K$5:$K$112,MATCH(A264,Tramos!$A$5:$A$112,0))</f>
        <v/>
      </c>
      <c r="D264" s="4">
        <f>INDEX(Tramos!$N$5:$N$112,MATCH(A264,Tramos!$A$5:$A$112,0))</f>
        <v/>
      </c>
      <c r="E264" s="13">
        <f>INDEX(Tramos!$P$5:$P$112,MATCH(A264,Tramos!$A$5:$A$112,0))</f>
        <v/>
      </c>
      <c r="F264" s="11">
        <f>INDEX(Tramos!$X$5:$X$112,MATCH(A264,Tramos!$A$5:$A$112,0))</f>
        <v/>
      </c>
      <c r="G264" s="13">
        <f>SUM(F$260:F264)</f>
        <v/>
      </c>
    </row>
    <row r="265">
      <c r="A265" s="4" t="inlineStr">
        <is>
          <t>MCAR9</t>
        </is>
      </c>
      <c r="B265" s="4">
        <f>INDEX(Tramos!$B$5:$B$112,MATCH(A265,Tramos!$A$5:$A$112,0))</f>
        <v/>
      </c>
      <c r="C265" s="11">
        <f>INDEX(Tramos!$K$5:$K$112,MATCH(A265,Tramos!$A$5:$A$112,0))</f>
        <v/>
      </c>
      <c r="D265" s="4">
        <f>INDEX(Tramos!$N$5:$N$112,MATCH(A265,Tramos!$A$5:$A$112,0))</f>
        <v/>
      </c>
      <c r="E265" s="13">
        <f>INDEX(Tramos!$P$5:$P$112,MATCH(A265,Tramos!$A$5:$A$112,0))</f>
        <v/>
      </c>
      <c r="F265" s="11">
        <f>INDEX(Tramos!$X$5:$X$112,MATCH(A265,Tramos!$A$5:$A$112,0))</f>
        <v/>
      </c>
      <c r="G265" s="13">
        <f>SUM(F$260:F265)</f>
        <v/>
      </c>
    </row>
    <row r="266">
      <c r="A266" s="4" t="inlineStr">
        <is>
          <t>MCAR10</t>
        </is>
      </c>
      <c r="B266" s="4">
        <f>INDEX(Tramos!$B$5:$B$112,MATCH(A266,Tramos!$A$5:$A$112,0))</f>
        <v/>
      </c>
      <c r="C266" s="11">
        <f>INDEX(Tramos!$K$5:$K$112,MATCH(A266,Tramos!$A$5:$A$112,0))</f>
        <v/>
      </c>
      <c r="D266" s="4">
        <f>INDEX(Tramos!$N$5:$N$112,MATCH(A266,Tramos!$A$5:$A$112,0))</f>
        <v/>
      </c>
      <c r="E266" s="13">
        <f>INDEX(Tramos!$P$5:$P$112,MATCH(A266,Tramos!$A$5:$A$112,0))</f>
        <v/>
      </c>
      <c r="F266" s="11">
        <f>INDEX(Tramos!$X$5:$X$112,MATCH(A266,Tramos!$A$5:$A$112,0))</f>
        <v/>
      </c>
      <c r="G266" s="13">
        <f>SUM(F$260:F266)</f>
        <v/>
      </c>
    </row>
    <row r="267">
      <c r="A267" s="4" t="inlineStr">
        <is>
          <t>MCAR11</t>
        </is>
      </c>
      <c r="B267" s="4">
        <f>INDEX(Tramos!$B$5:$B$112,MATCH(A267,Tramos!$A$5:$A$112,0))</f>
        <v/>
      </c>
      <c r="C267" s="11">
        <f>INDEX(Tramos!$K$5:$K$112,MATCH(A267,Tramos!$A$5:$A$112,0))</f>
        <v/>
      </c>
      <c r="D267" s="4">
        <f>INDEX(Tramos!$N$5:$N$112,MATCH(A267,Tramos!$A$5:$A$112,0))</f>
        <v/>
      </c>
      <c r="E267" s="13">
        <f>INDEX(Tramos!$P$5:$P$112,MATCH(A267,Tramos!$A$5:$A$112,0))</f>
        <v/>
      </c>
      <c r="F267" s="11">
        <f>INDEX(Tramos!$X$5:$X$112,MATCH(A267,Tramos!$A$5:$A$112,0))</f>
        <v/>
      </c>
      <c r="G267" s="13">
        <f>SUM(F$260:F267)</f>
        <v/>
      </c>
    </row>
    <row r="268">
      <c r="A268" s="4" t="inlineStr">
        <is>
          <t>RR1C</t>
        </is>
      </c>
      <c r="B268" s="4">
        <f>INDEX(Tramos!$B$5:$B$112,MATCH(A268,Tramos!$A$5:$A$112,0))</f>
        <v/>
      </c>
      <c r="C268" s="11">
        <f>INDEX(Tramos!$K$5:$K$112,MATCH(A268,Tramos!$A$5:$A$112,0))</f>
        <v/>
      </c>
      <c r="D268" s="4">
        <f>INDEX(Tramos!$N$5:$N$112,MATCH(A268,Tramos!$A$5:$A$112,0))</f>
        <v/>
      </c>
      <c r="E268" s="13">
        <f>INDEX(Tramos!$P$5:$P$112,MATCH(A268,Tramos!$A$5:$A$112,0))</f>
        <v/>
      </c>
      <c r="F268" s="11">
        <f>INDEX(Tramos!$X$5:$X$112,MATCH(A268,Tramos!$A$5:$A$112,0))</f>
        <v/>
      </c>
      <c r="G268" s="13">
        <f>SUM(F$260:F268)</f>
        <v/>
      </c>
    </row>
    <row r="269">
      <c r="A269" s="4" t="inlineStr">
        <is>
          <t>RR2C</t>
        </is>
      </c>
      <c r="B269" s="4">
        <f>INDEX(Tramos!$B$5:$B$112,MATCH(A269,Tramos!$A$5:$A$112,0))</f>
        <v/>
      </c>
      <c r="C269" s="11">
        <f>INDEX(Tramos!$K$5:$K$112,MATCH(A269,Tramos!$A$5:$A$112,0))</f>
        <v/>
      </c>
      <c r="D269" s="4">
        <f>INDEX(Tramos!$N$5:$N$112,MATCH(A269,Tramos!$A$5:$A$112,0))</f>
        <v/>
      </c>
      <c r="E269" s="13">
        <f>INDEX(Tramos!$P$5:$P$112,MATCH(A269,Tramos!$A$5:$A$112,0))</f>
        <v/>
      </c>
      <c r="F269" s="11">
        <f>INDEX(Tramos!$X$5:$X$112,MATCH(A269,Tramos!$A$5:$A$112,0))</f>
        <v/>
      </c>
      <c r="G269" s="13">
        <f>SUM(F$260:F269)</f>
        <v/>
      </c>
    </row>
    <row r="270">
      <c r="A270" s="4" t="inlineStr">
        <is>
          <t>RR3C</t>
        </is>
      </c>
      <c r="B270" s="4">
        <f>INDEX(Tramos!$B$5:$B$112,MATCH(A270,Tramos!$A$5:$A$112,0))</f>
        <v/>
      </c>
      <c r="C270" s="11">
        <f>INDEX(Tramos!$K$5:$K$112,MATCH(A270,Tramos!$A$5:$A$112,0))</f>
        <v/>
      </c>
      <c r="D270" s="4">
        <f>INDEX(Tramos!$N$5:$N$112,MATCH(A270,Tramos!$A$5:$A$112,0))</f>
        <v/>
      </c>
      <c r="E270" s="13">
        <f>INDEX(Tramos!$P$5:$P$112,MATCH(A270,Tramos!$A$5:$A$112,0))</f>
        <v/>
      </c>
      <c r="F270" s="11">
        <f>INDEX(Tramos!$X$5:$X$112,MATCH(A270,Tramos!$A$5:$A$112,0))</f>
        <v/>
      </c>
      <c r="G270" s="13">
        <f>SUM(F$260:F270)</f>
        <v/>
      </c>
    </row>
    <row r="271">
      <c r="A271" s="4" t="inlineStr">
        <is>
          <t>RR4C</t>
        </is>
      </c>
      <c r="B271" s="4">
        <f>INDEX(Tramos!$B$5:$B$112,MATCH(A271,Tramos!$A$5:$A$112,0))</f>
        <v/>
      </c>
      <c r="C271" s="11">
        <f>INDEX(Tramos!$K$5:$K$112,MATCH(A271,Tramos!$A$5:$A$112,0))</f>
        <v/>
      </c>
      <c r="D271" s="4">
        <f>INDEX(Tramos!$N$5:$N$112,MATCH(A271,Tramos!$A$5:$A$112,0))</f>
        <v/>
      </c>
      <c r="E271" s="13">
        <f>INDEX(Tramos!$P$5:$P$112,MATCH(A271,Tramos!$A$5:$A$112,0))</f>
        <v/>
      </c>
      <c r="F271" s="11">
        <f>INDEX(Tramos!$X$5:$X$112,MATCH(A271,Tramos!$A$5:$A$112,0))</f>
        <v/>
      </c>
      <c r="G271" s="13">
        <f>SUM(F$260:F271)</f>
        <v/>
      </c>
    </row>
    <row r="272">
      <c r="A272" s="4" t="inlineStr">
        <is>
          <t>RR5C</t>
        </is>
      </c>
      <c r="B272" s="4">
        <f>INDEX(Tramos!$B$5:$B$112,MATCH(A272,Tramos!$A$5:$A$112,0))</f>
        <v/>
      </c>
      <c r="C272" s="11">
        <f>INDEX(Tramos!$K$5:$K$112,MATCH(A272,Tramos!$A$5:$A$112,0))</f>
        <v/>
      </c>
      <c r="D272" s="4">
        <f>INDEX(Tramos!$N$5:$N$112,MATCH(A272,Tramos!$A$5:$A$112,0))</f>
        <v/>
      </c>
      <c r="E272" s="13">
        <f>INDEX(Tramos!$P$5:$P$112,MATCH(A272,Tramos!$A$5:$A$112,0))</f>
        <v/>
      </c>
      <c r="F272" s="11">
        <f>INDEX(Tramos!$X$5:$X$112,MATCH(A272,Tramos!$A$5:$A$112,0))</f>
        <v/>
      </c>
      <c r="G272" s="13">
        <f>SUM(F$260:F272)</f>
        <v/>
      </c>
    </row>
    <row r="273">
      <c r="A273" s="4" t="inlineStr">
        <is>
          <t>RR6C</t>
        </is>
      </c>
      <c r="B273" s="4">
        <f>INDEX(Tramos!$B$5:$B$112,MATCH(A273,Tramos!$A$5:$A$112,0))</f>
        <v/>
      </c>
      <c r="C273" s="11">
        <f>INDEX(Tramos!$K$5:$K$112,MATCH(A273,Tramos!$A$5:$A$112,0))</f>
        <v/>
      </c>
      <c r="D273" s="4">
        <f>INDEX(Tramos!$N$5:$N$112,MATCH(A273,Tramos!$A$5:$A$112,0))</f>
        <v/>
      </c>
      <c r="E273" s="13">
        <f>INDEX(Tramos!$P$5:$P$112,MATCH(A273,Tramos!$A$5:$A$112,0))</f>
        <v/>
      </c>
      <c r="F273" s="11">
        <f>INDEX(Tramos!$X$5:$X$112,MATCH(A273,Tramos!$A$5:$A$112,0))</f>
        <v/>
      </c>
      <c r="G273" s="13">
        <f>SUM(F$260:F273)</f>
        <v/>
      </c>
    </row>
    <row r="274">
      <c r="A274" s="4" t="inlineStr">
        <is>
          <t>HC1</t>
        </is>
      </c>
      <c r="B274" s="4">
        <f>INDEX(Tramos!$B$5:$B$112,MATCH(A274,Tramos!$A$5:$A$112,0))</f>
        <v/>
      </c>
      <c r="C274" s="11">
        <f>INDEX(Tramos!$K$5:$K$112,MATCH(A274,Tramos!$A$5:$A$112,0))</f>
        <v/>
      </c>
      <c r="D274" s="4">
        <f>INDEX(Tramos!$N$5:$N$112,MATCH(A274,Tramos!$A$5:$A$112,0))</f>
        <v/>
      </c>
      <c r="E274" s="13">
        <f>INDEX(Tramos!$P$5:$P$112,MATCH(A274,Tramos!$A$5:$A$112,0))</f>
        <v/>
      </c>
      <c r="F274" s="11">
        <f>INDEX(Tramos!$X$5:$X$112,MATCH(A274,Tramos!$A$5:$A$112,0))</f>
        <v/>
      </c>
      <c r="G274" s="13">
        <f>SUM(F$260:F274)</f>
        <v/>
      </c>
    </row>
    <row r="275">
      <c r="A275" s="4" t="inlineStr">
        <is>
          <t>HC4</t>
        </is>
      </c>
      <c r="B275" s="4">
        <f>INDEX(Tramos!$B$5:$B$112,MATCH(A275,Tramos!$A$5:$A$112,0))</f>
        <v/>
      </c>
      <c r="C275" s="11">
        <f>INDEX(Tramos!$K$5:$K$112,MATCH(A275,Tramos!$A$5:$A$112,0))</f>
        <v/>
      </c>
      <c r="D275" s="4">
        <f>INDEX(Tramos!$N$5:$N$112,MATCH(A275,Tramos!$A$5:$A$112,0))</f>
        <v/>
      </c>
      <c r="E275" s="13">
        <f>INDEX(Tramos!$P$5:$P$112,MATCH(A275,Tramos!$A$5:$A$112,0))</f>
        <v/>
      </c>
      <c r="F275" s="11">
        <f>INDEX(Tramos!$X$5:$X$112,MATCH(A275,Tramos!$A$5:$A$112,0))</f>
        <v/>
      </c>
      <c r="G275" s="13">
        <f>SUM(F$260:F275)</f>
        <v/>
      </c>
    </row>
    <row r="278">
      <c r="A278" s="3" t="inlineStr">
        <is>
          <t>R13 ACS baja O · P7 · lavabo</t>
        </is>
      </c>
      <c r="B278" s="3" t="inlineStr">
        <is>
          <t>Descripción</t>
        </is>
      </c>
      <c r="C278" s="3" t="inlineStr">
        <is>
          <t>Qc (l/s)</t>
        </is>
      </c>
      <c r="D278" s="3" t="inlineStr">
        <is>
          <t>Designación</t>
        </is>
      </c>
      <c r="E278" s="3" t="inlineStr">
        <is>
          <t>v (m/s)</t>
        </is>
      </c>
      <c r="F278" s="3" t="inlineStr">
        <is>
          <t>hf+hm (mca)</t>
        </is>
      </c>
      <c r="G278" s="3" t="inlineStr">
        <is>
          <t>Σ acumulada (mca)</t>
        </is>
      </c>
    </row>
    <row r="279">
      <c r="A279" s="4" t="inlineStr">
        <is>
          <t>CB0</t>
        </is>
      </c>
      <c r="B279" s="4">
        <f>INDEX(Tramos!$B$5:$B$112,MATCH(A279,Tramos!$A$5:$A$112,0))</f>
        <v/>
      </c>
      <c r="C279" s="11">
        <f>INDEX(Tramos!$K$5:$K$112,MATCH(A279,Tramos!$A$5:$A$112,0))</f>
        <v/>
      </c>
      <c r="D279" s="4">
        <f>INDEX(Tramos!$N$5:$N$112,MATCH(A279,Tramos!$A$5:$A$112,0))</f>
        <v/>
      </c>
      <c r="E279" s="13">
        <f>INDEX(Tramos!$P$5:$P$112,MATCH(A279,Tramos!$A$5:$A$112,0))</f>
        <v/>
      </c>
      <c r="F279" s="11">
        <f>INDEX(Tramos!$X$5:$X$112,MATCH(A279,Tramos!$A$5:$A$112,0))</f>
        <v/>
      </c>
      <c r="G279" s="13">
        <f>SUM(F$279:F279)</f>
        <v/>
      </c>
    </row>
    <row r="280">
      <c r="A280" s="4" t="inlineStr">
        <is>
          <t>CBL1</t>
        </is>
      </c>
      <c r="B280" s="4">
        <f>INDEX(Tramos!$B$5:$B$112,MATCH(A280,Tramos!$A$5:$A$112,0))</f>
        <v/>
      </c>
      <c r="C280" s="11">
        <f>INDEX(Tramos!$K$5:$K$112,MATCH(A280,Tramos!$A$5:$A$112,0))</f>
        <v/>
      </c>
      <c r="D280" s="4">
        <f>INDEX(Tramos!$N$5:$N$112,MATCH(A280,Tramos!$A$5:$A$112,0))</f>
        <v/>
      </c>
      <c r="E280" s="13">
        <f>INDEX(Tramos!$P$5:$P$112,MATCH(A280,Tramos!$A$5:$A$112,0))</f>
        <v/>
      </c>
      <c r="F280" s="11">
        <f>INDEX(Tramos!$X$5:$X$112,MATCH(A280,Tramos!$A$5:$A$112,0))</f>
        <v/>
      </c>
      <c r="G280" s="13">
        <f>SUM(F$279:F280)</f>
        <v/>
      </c>
    </row>
    <row r="281">
      <c r="A281" s="4" t="inlineStr">
        <is>
          <t>MCBL1</t>
        </is>
      </c>
      <c r="B281" s="4">
        <f>INDEX(Tramos!$B$5:$B$112,MATCH(A281,Tramos!$A$5:$A$112,0))</f>
        <v/>
      </c>
      <c r="C281" s="11">
        <f>INDEX(Tramos!$K$5:$K$112,MATCH(A281,Tramos!$A$5:$A$112,0))</f>
        <v/>
      </c>
      <c r="D281" s="4">
        <f>INDEX(Tramos!$N$5:$N$112,MATCH(A281,Tramos!$A$5:$A$112,0))</f>
        <v/>
      </c>
      <c r="E281" s="13">
        <f>INDEX(Tramos!$P$5:$P$112,MATCH(A281,Tramos!$A$5:$A$112,0))</f>
        <v/>
      </c>
      <c r="F281" s="11">
        <f>INDEX(Tramos!$X$5:$X$112,MATCH(A281,Tramos!$A$5:$A$112,0))</f>
        <v/>
      </c>
      <c r="G281" s="13">
        <f>SUM(F$279:F281)</f>
        <v/>
      </c>
    </row>
    <row r="282">
      <c r="A282" s="4" t="inlineStr">
        <is>
          <t>MCBL2</t>
        </is>
      </c>
      <c r="B282" s="4">
        <f>INDEX(Tramos!$B$5:$B$112,MATCH(A282,Tramos!$A$5:$A$112,0))</f>
        <v/>
      </c>
      <c r="C282" s="11">
        <f>INDEX(Tramos!$K$5:$K$112,MATCH(A282,Tramos!$A$5:$A$112,0))</f>
        <v/>
      </c>
      <c r="D282" s="4">
        <f>INDEX(Tramos!$N$5:$N$112,MATCH(A282,Tramos!$A$5:$A$112,0))</f>
        <v/>
      </c>
      <c r="E282" s="13">
        <f>INDEX(Tramos!$P$5:$P$112,MATCH(A282,Tramos!$A$5:$A$112,0))</f>
        <v/>
      </c>
      <c r="F282" s="11">
        <f>INDEX(Tramos!$X$5:$X$112,MATCH(A282,Tramos!$A$5:$A$112,0))</f>
        <v/>
      </c>
      <c r="G282" s="13">
        <f>SUM(F$279:F282)</f>
        <v/>
      </c>
    </row>
    <row r="283">
      <c r="A283" s="4" t="inlineStr">
        <is>
          <t>MCBL3</t>
        </is>
      </c>
      <c r="B283" s="4">
        <f>INDEX(Tramos!$B$5:$B$112,MATCH(A283,Tramos!$A$5:$A$112,0))</f>
        <v/>
      </c>
      <c r="C283" s="11">
        <f>INDEX(Tramos!$K$5:$K$112,MATCH(A283,Tramos!$A$5:$A$112,0))</f>
        <v/>
      </c>
      <c r="D283" s="4">
        <f>INDEX(Tramos!$N$5:$N$112,MATCH(A283,Tramos!$A$5:$A$112,0))</f>
        <v/>
      </c>
      <c r="E283" s="13">
        <f>INDEX(Tramos!$P$5:$P$112,MATCH(A283,Tramos!$A$5:$A$112,0))</f>
        <v/>
      </c>
      <c r="F283" s="11">
        <f>INDEX(Tramos!$X$5:$X$112,MATCH(A283,Tramos!$A$5:$A$112,0))</f>
        <v/>
      </c>
      <c r="G283" s="13">
        <f>SUM(F$279:F283)</f>
        <v/>
      </c>
    </row>
    <row r="284">
      <c r="A284" s="4" t="inlineStr">
        <is>
          <t>MCBL4</t>
        </is>
      </c>
      <c r="B284" s="4">
        <f>INDEX(Tramos!$B$5:$B$112,MATCH(A284,Tramos!$A$5:$A$112,0))</f>
        <v/>
      </c>
      <c r="C284" s="11">
        <f>INDEX(Tramos!$K$5:$K$112,MATCH(A284,Tramos!$A$5:$A$112,0))</f>
        <v/>
      </c>
      <c r="D284" s="4">
        <f>INDEX(Tramos!$N$5:$N$112,MATCH(A284,Tramos!$A$5:$A$112,0))</f>
        <v/>
      </c>
      <c r="E284" s="13">
        <f>INDEX(Tramos!$P$5:$P$112,MATCH(A284,Tramos!$A$5:$A$112,0))</f>
        <v/>
      </c>
      <c r="F284" s="11">
        <f>INDEX(Tramos!$X$5:$X$112,MATCH(A284,Tramos!$A$5:$A$112,0))</f>
        <v/>
      </c>
      <c r="G284" s="13">
        <f>SUM(F$279:F284)</f>
        <v/>
      </c>
    </row>
    <row r="285">
      <c r="A285" s="4" t="inlineStr">
        <is>
          <t>MCBL5</t>
        </is>
      </c>
      <c r="B285" s="4">
        <f>INDEX(Tramos!$B$5:$B$112,MATCH(A285,Tramos!$A$5:$A$112,0))</f>
        <v/>
      </c>
      <c r="C285" s="11">
        <f>INDEX(Tramos!$K$5:$K$112,MATCH(A285,Tramos!$A$5:$A$112,0))</f>
        <v/>
      </c>
      <c r="D285" s="4">
        <f>INDEX(Tramos!$N$5:$N$112,MATCH(A285,Tramos!$A$5:$A$112,0))</f>
        <v/>
      </c>
      <c r="E285" s="13">
        <f>INDEX(Tramos!$P$5:$P$112,MATCH(A285,Tramos!$A$5:$A$112,0))</f>
        <v/>
      </c>
      <c r="F285" s="11">
        <f>INDEX(Tramos!$X$5:$X$112,MATCH(A285,Tramos!$A$5:$A$112,0))</f>
        <v/>
      </c>
      <c r="G285" s="13">
        <f>SUM(F$279:F285)</f>
        <v/>
      </c>
    </row>
    <row r="286">
      <c r="A286" s="4" t="inlineStr">
        <is>
          <t>MCBL6</t>
        </is>
      </c>
      <c r="B286" s="4">
        <f>INDEX(Tramos!$B$5:$B$112,MATCH(A286,Tramos!$A$5:$A$112,0))</f>
        <v/>
      </c>
      <c r="C286" s="11">
        <f>INDEX(Tramos!$K$5:$K$112,MATCH(A286,Tramos!$A$5:$A$112,0))</f>
        <v/>
      </c>
      <c r="D286" s="4">
        <f>INDEX(Tramos!$N$5:$N$112,MATCH(A286,Tramos!$A$5:$A$112,0))</f>
        <v/>
      </c>
      <c r="E286" s="13">
        <f>INDEX(Tramos!$P$5:$P$112,MATCH(A286,Tramos!$A$5:$A$112,0))</f>
        <v/>
      </c>
      <c r="F286" s="11">
        <f>INDEX(Tramos!$X$5:$X$112,MATCH(A286,Tramos!$A$5:$A$112,0))</f>
        <v/>
      </c>
      <c r="G286" s="13">
        <f>SUM(F$279:F286)</f>
        <v/>
      </c>
    </row>
    <row r="287">
      <c r="A287" s="4" t="inlineStr">
        <is>
          <t>MCBL7</t>
        </is>
      </c>
      <c r="B287" s="4">
        <f>INDEX(Tramos!$B$5:$B$112,MATCH(A287,Tramos!$A$5:$A$112,0))</f>
        <v/>
      </c>
      <c r="C287" s="11">
        <f>INDEX(Tramos!$K$5:$K$112,MATCH(A287,Tramos!$A$5:$A$112,0))</f>
        <v/>
      </c>
      <c r="D287" s="4">
        <f>INDEX(Tramos!$N$5:$N$112,MATCH(A287,Tramos!$A$5:$A$112,0))</f>
        <v/>
      </c>
      <c r="E287" s="13">
        <f>INDEX(Tramos!$P$5:$P$112,MATCH(A287,Tramos!$A$5:$A$112,0))</f>
        <v/>
      </c>
      <c r="F287" s="11">
        <f>INDEX(Tramos!$X$5:$X$112,MATCH(A287,Tramos!$A$5:$A$112,0))</f>
        <v/>
      </c>
      <c r="G287" s="13">
        <f>SUM(F$279:F287)</f>
        <v/>
      </c>
    </row>
    <row r="288">
      <c r="A288" s="4" t="inlineStr">
        <is>
          <t>RL1C</t>
        </is>
      </c>
      <c r="B288" s="4">
        <f>INDEX(Tramos!$B$5:$B$112,MATCH(A288,Tramos!$A$5:$A$112,0))</f>
        <v/>
      </c>
      <c r="C288" s="11">
        <f>INDEX(Tramos!$K$5:$K$112,MATCH(A288,Tramos!$A$5:$A$112,0))</f>
        <v/>
      </c>
      <c r="D288" s="4">
        <f>INDEX(Tramos!$N$5:$N$112,MATCH(A288,Tramos!$A$5:$A$112,0))</f>
        <v/>
      </c>
      <c r="E288" s="13">
        <f>INDEX(Tramos!$P$5:$P$112,MATCH(A288,Tramos!$A$5:$A$112,0))</f>
        <v/>
      </c>
      <c r="F288" s="11">
        <f>INDEX(Tramos!$X$5:$X$112,MATCH(A288,Tramos!$A$5:$A$112,0))</f>
        <v/>
      </c>
      <c r="G288" s="13">
        <f>SUM(F$279:F288)</f>
        <v/>
      </c>
    </row>
    <row r="289">
      <c r="A289" s="4" t="inlineStr">
        <is>
          <t>RL2C</t>
        </is>
      </c>
      <c r="B289" s="4">
        <f>INDEX(Tramos!$B$5:$B$112,MATCH(A289,Tramos!$A$5:$A$112,0))</f>
        <v/>
      </c>
      <c r="C289" s="11">
        <f>INDEX(Tramos!$K$5:$K$112,MATCH(A289,Tramos!$A$5:$A$112,0))</f>
        <v/>
      </c>
      <c r="D289" s="4">
        <f>INDEX(Tramos!$N$5:$N$112,MATCH(A289,Tramos!$A$5:$A$112,0))</f>
        <v/>
      </c>
      <c r="E289" s="13">
        <f>INDEX(Tramos!$P$5:$P$112,MATCH(A289,Tramos!$A$5:$A$112,0))</f>
        <v/>
      </c>
      <c r="F289" s="11">
        <f>INDEX(Tramos!$X$5:$X$112,MATCH(A289,Tramos!$A$5:$A$112,0))</f>
        <v/>
      </c>
      <c r="G289" s="13">
        <f>SUM(F$279:F289)</f>
        <v/>
      </c>
    </row>
    <row r="290">
      <c r="A290" s="4" t="inlineStr">
        <is>
          <t>RL3C</t>
        </is>
      </c>
      <c r="B290" s="4">
        <f>INDEX(Tramos!$B$5:$B$112,MATCH(A290,Tramos!$A$5:$A$112,0))</f>
        <v/>
      </c>
      <c r="C290" s="11">
        <f>INDEX(Tramos!$K$5:$K$112,MATCH(A290,Tramos!$A$5:$A$112,0))</f>
        <v/>
      </c>
      <c r="D290" s="4">
        <f>INDEX(Tramos!$N$5:$N$112,MATCH(A290,Tramos!$A$5:$A$112,0))</f>
        <v/>
      </c>
      <c r="E290" s="13">
        <f>INDEX(Tramos!$P$5:$P$112,MATCH(A290,Tramos!$A$5:$A$112,0))</f>
        <v/>
      </c>
      <c r="F290" s="11">
        <f>INDEX(Tramos!$X$5:$X$112,MATCH(A290,Tramos!$A$5:$A$112,0))</f>
        <v/>
      </c>
      <c r="G290" s="13">
        <f>SUM(F$279:F290)</f>
        <v/>
      </c>
    </row>
    <row r="291">
      <c r="A291" s="4" t="inlineStr">
        <is>
          <t>RL4C</t>
        </is>
      </c>
      <c r="B291" s="4">
        <f>INDEX(Tramos!$B$5:$B$112,MATCH(A291,Tramos!$A$5:$A$112,0))</f>
        <v/>
      </c>
      <c r="C291" s="11">
        <f>INDEX(Tramos!$K$5:$K$112,MATCH(A291,Tramos!$A$5:$A$112,0))</f>
        <v/>
      </c>
      <c r="D291" s="4">
        <f>INDEX(Tramos!$N$5:$N$112,MATCH(A291,Tramos!$A$5:$A$112,0))</f>
        <v/>
      </c>
      <c r="E291" s="13">
        <f>INDEX(Tramos!$P$5:$P$112,MATCH(A291,Tramos!$A$5:$A$112,0))</f>
        <v/>
      </c>
      <c r="F291" s="11">
        <f>INDEX(Tramos!$X$5:$X$112,MATCH(A291,Tramos!$A$5:$A$112,0))</f>
        <v/>
      </c>
      <c r="G291" s="13">
        <f>SUM(F$279:F291)</f>
        <v/>
      </c>
    </row>
    <row r="292">
      <c r="A292" s="4" t="inlineStr">
        <is>
          <t>RL5C</t>
        </is>
      </c>
      <c r="B292" s="4">
        <f>INDEX(Tramos!$B$5:$B$112,MATCH(A292,Tramos!$A$5:$A$112,0))</f>
        <v/>
      </c>
      <c r="C292" s="11">
        <f>INDEX(Tramos!$K$5:$K$112,MATCH(A292,Tramos!$A$5:$A$112,0))</f>
        <v/>
      </c>
      <c r="D292" s="4">
        <f>INDEX(Tramos!$N$5:$N$112,MATCH(A292,Tramos!$A$5:$A$112,0))</f>
        <v/>
      </c>
      <c r="E292" s="13">
        <f>INDEX(Tramos!$P$5:$P$112,MATCH(A292,Tramos!$A$5:$A$112,0))</f>
        <v/>
      </c>
      <c r="F292" s="11">
        <f>INDEX(Tramos!$X$5:$X$112,MATCH(A292,Tramos!$A$5:$A$112,0))</f>
        <v/>
      </c>
      <c r="G292" s="13">
        <f>SUM(F$279:F292)</f>
        <v/>
      </c>
    </row>
    <row r="293">
      <c r="A293" s="4" t="inlineStr">
        <is>
          <t>HC1</t>
        </is>
      </c>
      <c r="B293" s="4">
        <f>INDEX(Tramos!$B$5:$B$112,MATCH(A293,Tramos!$A$5:$A$112,0))</f>
        <v/>
      </c>
      <c r="C293" s="11">
        <f>INDEX(Tramos!$K$5:$K$112,MATCH(A293,Tramos!$A$5:$A$112,0))</f>
        <v/>
      </c>
      <c r="D293" s="4">
        <f>INDEX(Tramos!$N$5:$N$112,MATCH(A293,Tramos!$A$5:$A$112,0))</f>
        <v/>
      </c>
      <c r="E293" s="13">
        <f>INDEX(Tramos!$P$5:$P$112,MATCH(A293,Tramos!$A$5:$A$112,0))</f>
        <v/>
      </c>
      <c r="F293" s="11">
        <f>INDEX(Tramos!$X$5:$X$112,MATCH(A293,Tramos!$A$5:$A$112,0))</f>
        <v/>
      </c>
      <c r="G293" s="13">
        <f>SUM(F$279:F293)</f>
        <v/>
      </c>
    </row>
    <row r="294">
      <c r="A294" s="4" t="inlineStr">
        <is>
          <t>HC2</t>
        </is>
      </c>
      <c r="B294" s="4">
        <f>INDEX(Tramos!$B$5:$B$112,MATCH(A294,Tramos!$A$5:$A$112,0))</f>
        <v/>
      </c>
      <c r="C294" s="11">
        <f>INDEX(Tramos!$K$5:$K$112,MATCH(A294,Tramos!$A$5:$A$112,0))</f>
        <v/>
      </c>
      <c r="D294" s="4">
        <f>INDEX(Tramos!$N$5:$N$112,MATCH(A294,Tramos!$A$5:$A$112,0))</f>
        <v/>
      </c>
      <c r="E294" s="13">
        <f>INDEX(Tramos!$P$5:$P$112,MATCH(A294,Tramos!$A$5:$A$112,0))</f>
        <v/>
      </c>
      <c r="F294" s="11">
        <f>INDEX(Tramos!$X$5:$X$112,MATCH(A294,Tramos!$A$5:$A$112,0))</f>
        <v/>
      </c>
      <c r="G294" s="13">
        <f>SUM(F$279:F294)</f>
        <v/>
      </c>
    </row>
    <row r="295">
      <c r="A295" s="4" t="inlineStr">
        <is>
          <t>HC3</t>
        </is>
      </c>
      <c r="B295" s="4">
        <f>INDEX(Tramos!$B$5:$B$112,MATCH(A295,Tramos!$A$5:$A$112,0))</f>
        <v/>
      </c>
      <c r="C295" s="11">
        <f>INDEX(Tramos!$K$5:$K$112,MATCH(A295,Tramos!$A$5:$A$112,0))</f>
        <v/>
      </c>
      <c r="D295" s="4">
        <f>INDEX(Tramos!$N$5:$N$112,MATCH(A295,Tramos!$A$5:$A$112,0))</f>
        <v/>
      </c>
      <c r="E295" s="13">
        <f>INDEX(Tramos!$P$5:$P$112,MATCH(A295,Tramos!$A$5:$A$112,0))</f>
        <v/>
      </c>
      <c r="F295" s="11">
        <f>INDEX(Tramos!$X$5:$X$112,MATCH(A295,Tramos!$A$5:$A$112,0))</f>
        <v/>
      </c>
      <c r="G295" s="13">
        <f>SUM(F$279:F295)</f>
        <v/>
      </c>
    </row>
    <row r="298">
      <c r="A298" s="3" t="inlineStr">
        <is>
          <t>R14 ACS baja O · P7 · bañera</t>
        </is>
      </c>
      <c r="B298" s="3" t="inlineStr">
        <is>
          <t>Descripción</t>
        </is>
      </c>
      <c r="C298" s="3" t="inlineStr">
        <is>
          <t>Qc (l/s)</t>
        </is>
      </c>
      <c r="D298" s="3" t="inlineStr">
        <is>
          <t>Designación</t>
        </is>
      </c>
      <c r="E298" s="3" t="inlineStr">
        <is>
          <t>v (m/s)</t>
        </is>
      </c>
      <c r="F298" s="3" t="inlineStr">
        <is>
          <t>hf+hm (mca)</t>
        </is>
      </c>
      <c r="G298" s="3" t="inlineStr">
        <is>
          <t>Σ acumulada (mca)</t>
        </is>
      </c>
    </row>
    <row r="299">
      <c r="A299" s="4" t="inlineStr">
        <is>
          <t>CB0</t>
        </is>
      </c>
      <c r="B299" s="4">
        <f>INDEX(Tramos!$B$5:$B$112,MATCH(A299,Tramos!$A$5:$A$112,0))</f>
        <v/>
      </c>
      <c r="C299" s="11">
        <f>INDEX(Tramos!$K$5:$K$112,MATCH(A299,Tramos!$A$5:$A$112,0))</f>
        <v/>
      </c>
      <c r="D299" s="4">
        <f>INDEX(Tramos!$N$5:$N$112,MATCH(A299,Tramos!$A$5:$A$112,0))</f>
        <v/>
      </c>
      <c r="E299" s="13">
        <f>INDEX(Tramos!$P$5:$P$112,MATCH(A299,Tramos!$A$5:$A$112,0))</f>
        <v/>
      </c>
      <c r="F299" s="11">
        <f>INDEX(Tramos!$X$5:$X$112,MATCH(A299,Tramos!$A$5:$A$112,0))</f>
        <v/>
      </c>
      <c r="G299" s="13">
        <f>SUM(F$299:F299)</f>
        <v/>
      </c>
    </row>
    <row r="300">
      <c r="A300" s="4" t="inlineStr">
        <is>
          <t>CBL1</t>
        </is>
      </c>
      <c r="B300" s="4">
        <f>INDEX(Tramos!$B$5:$B$112,MATCH(A300,Tramos!$A$5:$A$112,0))</f>
        <v/>
      </c>
      <c r="C300" s="11">
        <f>INDEX(Tramos!$K$5:$K$112,MATCH(A300,Tramos!$A$5:$A$112,0))</f>
        <v/>
      </c>
      <c r="D300" s="4">
        <f>INDEX(Tramos!$N$5:$N$112,MATCH(A300,Tramos!$A$5:$A$112,0))</f>
        <v/>
      </c>
      <c r="E300" s="13">
        <f>INDEX(Tramos!$P$5:$P$112,MATCH(A300,Tramos!$A$5:$A$112,0))</f>
        <v/>
      </c>
      <c r="F300" s="11">
        <f>INDEX(Tramos!$X$5:$X$112,MATCH(A300,Tramos!$A$5:$A$112,0))</f>
        <v/>
      </c>
      <c r="G300" s="13">
        <f>SUM(F$299:F300)</f>
        <v/>
      </c>
    </row>
    <row r="301">
      <c r="A301" s="4" t="inlineStr">
        <is>
          <t>MCBL1</t>
        </is>
      </c>
      <c r="B301" s="4">
        <f>INDEX(Tramos!$B$5:$B$112,MATCH(A301,Tramos!$A$5:$A$112,0))</f>
        <v/>
      </c>
      <c r="C301" s="11">
        <f>INDEX(Tramos!$K$5:$K$112,MATCH(A301,Tramos!$A$5:$A$112,0))</f>
        <v/>
      </c>
      <c r="D301" s="4">
        <f>INDEX(Tramos!$N$5:$N$112,MATCH(A301,Tramos!$A$5:$A$112,0))</f>
        <v/>
      </c>
      <c r="E301" s="13">
        <f>INDEX(Tramos!$P$5:$P$112,MATCH(A301,Tramos!$A$5:$A$112,0))</f>
        <v/>
      </c>
      <c r="F301" s="11">
        <f>INDEX(Tramos!$X$5:$X$112,MATCH(A301,Tramos!$A$5:$A$112,0))</f>
        <v/>
      </c>
      <c r="G301" s="13">
        <f>SUM(F$299:F301)</f>
        <v/>
      </c>
    </row>
    <row r="302">
      <c r="A302" s="4" t="inlineStr">
        <is>
          <t>MCBL2</t>
        </is>
      </c>
      <c r="B302" s="4">
        <f>INDEX(Tramos!$B$5:$B$112,MATCH(A302,Tramos!$A$5:$A$112,0))</f>
        <v/>
      </c>
      <c r="C302" s="11">
        <f>INDEX(Tramos!$K$5:$K$112,MATCH(A302,Tramos!$A$5:$A$112,0))</f>
        <v/>
      </c>
      <c r="D302" s="4">
        <f>INDEX(Tramos!$N$5:$N$112,MATCH(A302,Tramos!$A$5:$A$112,0))</f>
        <v/>
      </c>
      <c r="E302" s="13">
        <f>INDEX(Tramos!$P$5:$P$112,MATCH(A302,Tramos!$A$5:$A$112,0))</f>
        <v/>
      </c>
      <c r="F302" s="11">
        <f>INDEX(Tramos!$X$5:$X$112,MATCH(A302,Tramos!$A$5:$A$112,0))</f>
        <v/>
      </c>
      <c r="G302" s="13">
        <f>SUM(F$299:F302)</f>
        <v/>
      </c>
    </row>
    <row r="303">
      <c r="A303" s="4" t="inlineStr">
        <is>
          <t>MCBL3</t>
        </is>
      </c>
      <c r="B303" s="4">
        <f>INDEX(Tramos!$B$5:$B$112,MATCH(A303,Tramos!$A$5:$A$112,0))</f>
        <v/>
      </c>
      <c r="C303" s="11">
        <f>INDEX(Tramos!$K$5:$K$112,MATCH(A303,Tramos!$A$5:$A$112,0))</f>
        <v/>
      </c>
      <c r="D303" s="4">
        <f>INDEX(Tramos!$N$5:$N$112,MATCH(A303,Tramos!$A$5:$A$112,0))</f>
        <v/>
      </c>
      <c r="E303" s="13">
        <f>INDEX(Tramos!$P$5:$P$112,MATCH(A303,Tramos!$A$5:$A$112,0))</f>
        <v/>
      </c>
      <c r="F303" s="11">
        <f>INDEX(Tramos!$X$5:$X$112,MATCH(A303,Tramos!$A$5:$A$112,0))</f>
        <v/>
      </c>
      <c r="G303" s="13">
        <f>SUM(F$299:F303)</f>
        <v/>
      </c>
    </row>
    <row r="304">
      <c r="A304" s="4" t="inlineStr">
        <is>
          <t>MCBL4</t>
        </is>
      </c>
      <c r="B304" s="4">
        <f>INDEX(Tramos!$B$5:$B$112,MATCH(A304,Tramos!$A$5:$A$112,0))</f>
        <v/>
      </c>
      <c r="C304" s="11">
        <f>INDEX(Tramos!$K$5:$K$112,MATCH(A304,Tramos!$A$5:$A$112,0))</f>
        <v/>
      </c>
      <c r="D304" s="4">
        <f>INDEX(Tramos!$N$5:$N$112,MATCH(A304,Tramos!$A$5:$A$112,0))</f>
        <v/>
      </c>
      <c r="E304" s="13">
        <f>INDEX(Tramos!$P$5:$P$112,MATCH(A304,Tramos!$A$5:$A$112,0))</f>
        <v/>
      </c>
      <c r="F304" s="11">
        <f>INDEX(Tramos!$X$5:$X$112,MATCH(A304,Tramos!$A$5:$A$112,0))</f>
        <v/>
      </c>
      <c r="G304" s="13">
        <f>SUM(F$299:F304)</f>
        <v/>
      </c>
    </row>
    <row r="305">
      <c r="A305" s="4" t="inlineStr">
        <is>
          <t>MCBL5</t>
        </is>
      </c>
      <c r="B305" s="4">
        <f>INDEX(Tramos!$B$5:$B$112,MATCH(A305,Tramos!$A$5:$A$112,0))</f>
        <v/>
      </c>
      <c r="C305" s="11">
        <f>INDEX(Tramos!$K$5:$K$112,MATCH(A305,Tramos!$A$5:$A$112,0))</f>
        <v/>
      </c>
      <c r="D305" s="4">
        <f>INDEX(Tramos!$N$5:$N$112,MATCH(A305,Tramos!$A$5:$A$112,0))</f>
        <v/>
      </c>
      <c r="E305" s="13">
        <f>INDEX(Tramos!$P$5:$P$112,MATCH(A305,Tramos!$A$5:$A$112,0))</f>
        <v/>
      </c>
      <c r="F305" s="11">
        <f>INDEX(Tramos!$X$5:$X$112,MATCH(A305,Tramos!$A$5:$A$112,0))</f>
        <v/>
      </c>
      <c r="G305" s="13">
        <f>SUM(F$299:F305)</f>
        <v/>
      </c>
    </row>
    <row r="306">
      <c r="A306" s="4" t="inlineStr">
        <is>
          <t>MCBL6</t>
        </is>
      </c>
      <c r="B306" s="4">
        <f>INDEX(Tramos!$B$5:$B$112,MATCH(A306,Tramos!$A$5:$A$112,0))</f>
        <v/>
      </c>
      <c r="C306" s="11">
        <f>INDEX(Tramos!$K$5:$K$112,MATCH(A306,Tramos!$A$5:$A$112,0))</f>
        <v/>
      </c>
      <c r="D306" s="4">
        <f>INDEX(Tramos!$N$5:$N$112,MATCH(A306,Tramos!$A$5:$A$112,0))</f>
        <v/>
      </c>
      <c r="E306" s="13">
        <f>INDEX(Tramos!$P$5:$P$112,MATCH(A306,Tramos!$A$5:$A$112,0))</f>
        <v/>
      </c>
      <c r="F306" s="11">
        <f>INDEX(Tramos!$X$5:$X$112,MATCH(A306,Tramos!$A$5:$A$112,0))</f>
        <v/>
      </c>
      <c r="G306" s="13">
        <f>SUM(F$299:F306)</f>
        <v/>
      </c>
    </row>
    <row r="307">
      <c r="A307" s="4" t="inlineStr">
        <is>
          <t>MCBL7</t>
        </is>
      </c>
      <c r="B307" s="4">
        <f>INDEX(Tramos!$B$5:$B$112,MATCH(A307,Tramos!$A$5:$A$112,0))</f>
        <v/>
      </c>
      <c r="C307" s="11">
        <f>INDEX(Tramos!$K$5:$K$112,MATCH(A307,Tramos!$A$5:$A$112,0))</f>
        <v/>
      </c>
      <c r="D307" s="4">
        <f>INDEX(Tramos!$N$5:$N$112,MATCH(A307,Tramos!$A$5:$A$112,0))</f>
        <v/>
      </c>
      <c r="E307" s="13">
        <f>INDEX(Tramos!$P$5:$P$112,MATCH(A307,Tramos!$A$5:$A$112,0))</f>
        <v/>
      </c>
      <c r="F307" s="11">
        <f>INDEX(Tramos!$X$5:$X$112,MATCH(A307,Tramos!$A$5:$A$112,0))</f>
        <v/>
      </c>
      <c r="G307" s="13">
        <f>SUM(F$299:F307)</f>
        <v/>
      </c>
    </row>
    <row r="308">
      <c r="A308" s="4" t="inlineStr">
        <is>
          <t>RL1C</t>
        </is>
      </c>
      <c r="B308" s="4">
        <f>INDEX(Tramos!$B$5:$B$112,MATCH(A308,Tramos!$A$5:$A$112,0))</f>
        <v/>
      </c>
      <c r="C308" s="11">
        <f>INDEX(Tramos!$K$5:$K$112,MATCH(A308,Tramos!$A$5:$A$112,0))</f>
        <v/>
      </c>
      <c r="D308" s="4">
        <f>INDEX(Tramos!$N$5:$N$112,MATCH(A308,Tramos!$A$5:$A$112,0))</f>
        <v/>
      </c>
      <c r="E308" s="13">
        <f>INDEX(Tramos!$P$5:$P$112,MATCH(A308,Tramos!$A$5:$A$112,0))</f>
        <v/>
      </c>
      <c r="F308" s="11">
        <f>INDEX(Tramos!$X$5:$X$112,MATCH(A308,Tramos!$A$5:$A$112,0))</f>
        <v/>
      </c>
      <c r="G308" s="13">
        <f>SUM(F$299:F308)</f>
        <v/>
      </c>
    </row>
    <row r="309">
      <c r="A309" s="4" t="inlineStr">
        <is>
          <t>RL2C</t>
        </is>
      </c>
      <c r="B309" s="4">
        <f>INDEX(Tramos!$B$5:$B$112,MATCH(A309,Tramos!$A$5:$A$112,0))</f>
        <v/>
      </c>
      <c r="C309" s="11">
        <f>INDEX(Tramos!$K$5:$K$112,MATCH(A309,Tramos!$A$5:$A$112,0))</f>
        <v/>
      </c>
      <c r="D309" s="4">
        <f>INDEX(Tramos!$N$5:$N$112,MATCH(A309,Tramos!$A$5:$A$112,0))</f>
        <v/>
      </c>
      <c r="E309" s="13">
        <f>INDEX(Tramos!$P$5:$P$112,MATCH(A309,Tramos!$A$5:$A$112,0))</f>
        <v/>
      </c>
      <c r="F309" s="11">
        <f>INDEX(Tramos!$X$5:$X$112,MATCH(A309,Tramos!$A$5:$A$112,0))</f>
        <v/>
      </c>
      <c r="G309" s="13">
        <f>SUM(F$299:F309)</f>
        <v/>
      </c>
    </row>
    <row r="310">
      <c r="A310" s="4" t="inlineStr">
        <is>
          <t>RL3C</t>
        </is>
      </c>
      <c r="B310" s="4">
        <f>INDEX(Tramos!$B$5:$B$112,MATCH(A310,Tramos!$A$5:$A$112,0))</f>
        <v/>
      </c>
      <c r="C310" s="11">
        <f>INDEX(Tramos!$K$5:$K$112,MATCH(A310,Tramos!$A$5:$A$112,0))</f>
        <v/>
      </c>
      <c r="D310" s="4">
        <f>INDEX(Tramos!$N$5:$N$112,MATCH(A310,Tramos!$A$5:$A$112,0))</f>
        <v/>
      </c>
      <c r="E310" s="13">
        <f>INDEX(Tramos!$P$5:$P$112,MATCH(A310,Tramos!$A$5:$A$112,0))</f>
        <v/>
      </c>
      <c r="F310" s="11">
        <f>INDEX(Tramos!$X$5:$X$112,MATCH(A310,Tramos!$A$5:$A$112,0))</f>
        <v/>
      </c>
      <c r="G310" s="13">
        <f>SUM(F$299:F310)</f>
        <v/>
      </c>
    </row>
    <row r="311">
      <c r="A311" s="4" t="inlineStr">
        <is>
          <t>RL4C</t>
        </is>
      </c>
      <c r="B311" s="4">
        <f>INDEX(Tramos!$B$5:$B$112,MATCH(A311,Tramos!$A$5:$A$112,0))</f>
        <v/>
      </c>
      <c r="C311" s="11">
        <f>INDEX(Tramos!$K$5:$K$112,MATCH(A311,Tramos!$A$5:$A$112,0))</f>
        <v/>
      </c>
      <c r="D311" s="4">
        <f>INDEX(Tramos!$N$5:$N$112,MATCH(A311,Tramos!$A$5:$A$112,0))</f>
        <v/>
      </c>
      <c r="E311" s="13">
        <f>INDEX(Tramos!$P$5:$P$112,MATCH(A311,Tramos!$A$5:$A$112,0))</f>
        <v/>
      </c>
      <c r="F311" s="11">
        <f>INDEX(Tramos!$X$5:$X$112,MATCH(A311,Tramos!$A$5:$A$112,0))</f>
        <v/>
      </c>
      <c r="G311" s="13">
        <f>SUM(F$299:F311)</f>
        <v/>
      </c>
    </row>
    <row r="312">
      <c r="A312" s="4" t="inlineStr">
        <is>
          <t>RL5C</t>
        </is>
      </c>
      <c r="B312" s="4">
        <f>INDEX(Tramos!$B$5:$B$112,MATCH(A312,Tramos!$A$5:$A$112,0))</f>
        <v/>
      </c>
      <c r="C312" s="11">
        <f>INDEX(Tramos!$K$5:$K$112,MATCH(A312,Tramos!$A$5:$A$112,0))</f>
        <v/>
      </c>
      <c r="D312" s="4">
        <f>INDEX(Tramos!$N$5:$N$112,MATCH(A312,Tramos!$A$5:$A$112,0))</f>
        <v/>
      </c>
      <c r="E312" s="13">
        <f>INDEX(Tramos!$P$5:$P$112,MATCH(A312,Tramos!$A$5:$A$112,0))</f>
        <v/>
      </c>
      <c r="F312" s="11">
        <f>INDEX(Tramos!$X$5:$X$112,MATCH(A312,Tramos!$A$5:$A$112,0))</f>
        <v/>
      </c>
      <c r="G312" s="13">
        <f>SUM(F$299:F312)</f>
        <v/>
      </c>
    </row>
    <row r="313">
      <c r="A313" s="4" t="inlineStr">
        <is>
          <t>HC1</t>
        </is>
      </c>
      <c r="B313" s="4">
        <f>INDEX(Tramos!$B$5:$B$112,MATCH(A313,Tramos!$A$5:$A$112,0))</f>
        <v/>
      </c>
      <c r="C313" s="11">
        <f>INDEX(Tramos!$K$5:$K$112,MATCH(A313,Tramos!$A$5:$A$112,0))</f>
        <v/>
      </c>
      <c r="D313" s="4">
        <f>INDEX(Tramos!$N$5:$N$112,MATCH(A313,Tramos!$A$5:$A$112,0))</f>
        <v/>
      </c>
      <c r="E313" s="13">
        <f>INDEX(Tramos!$P$5:$P$112,MATCH(A313,Tramos!$A$5:$A$112,0))</f>
        <v/>
      </c>
      <c r="F313" s="11">
        <f>INDEX(Tramos!$X$5:$X$112,MATCH(A313,Tramos!$A$5:$A$112,0))</f>
        <v/>
      </c>
      <c r="G313" s="13">
        <f>SUM(F$299:F313)</f>
        <v/>
      </c>
    </row>
    <row r="314">
      <c r="A314" s="4" t="inlineStr">
        <is>
          <t>HC4</t>
        </is>
      </c>
      <c r="B314" s="4">
        <f>INDEX(Tramos!$B$5:$B$112,MATCH(A314,Tramos!$A$5:$A$112,0))</f>
        <v/>
      </c>
      <c r="C314" s="11">
        <f>INDEX(Tramos!$K$5:$K$112,MATCH(A314,Tramos!$A$5:$A$112,0))</f>
        <v/>
      </c>
      <c r="D314" s="4">
        <f>INDEX(Tramos!$N$5:$N$112,MATCH(A314,Tramos!$A$5:$A$112,0))</f>
        <v/>
      </c>
      <c r="E314" s="13">
        <f>INDEX(Tramos!$P$5:$P$112,MATCH(A314,Tramos!$A$5:$A$112,0))</f>
        <v/>
      </c>
      <c r="F314" s="11">
        <f>INDEX(Tramos!$X$5:$X$112,MATCH(A314,Tramos!$A$5:$A$112,0))</f>
        <v/>
      </c>
      <c r="G314" s="13">
        <f>SUM(F$299:F314)</f>
        <v/>
      </c>
    </row>
    <row r="317">
      <c r="A317" s="3" t="inlineStr">
        <is>
          <t>R15 ACS baja E · P7 · lavabo</t>
        </is>
      </c>
      <c r="B317" s="3" t="inlineStr">
        <is>
          <t>Descripción</t>
        </is>
      </c>
      <c r="C317" s="3" t="inlineStr">
        <is>
          <t>Qc (l/s)</t>
        </is>
      </c>
      <c r="D317" s="3" t="inlineStr">
        <is>
          <t>Designación</t>
        </is>
      </c>
      <c r="E317" s="3" t="inlineStr">
        <is>
          <t>v (m/s)</t>
        </is>
      </c>
      <c r="F317" s="3" t="inlineStr">
        <is>
          <t>hf+hm (mca)</t>
        </is>
      </c>
      <c r="G317" s="3" t="inlineStr">
        <is>
          <t>Σ acumulada (mca)</t>
        </is>
      </c>
    </row>
    <row r="318">
      <c r="A318" s="4" t="inlineStr">
        <is>
          <t>CB0</t>
        </is>
      </c>
      <c r="B318" s="4">
        <f>INDEX(Tramos!$B$5:$B$112,MATCH(A318,Tramos!$A$5:$A$112,0))</f>
        <v/>
      </c>
      <c r="C318" s="11">
        <f>INDEX(Tramos!$K$5:$K$112,MATCH(A318,Tramos!$A$5:$A$112,0))</f>
        <v/>
      </c>
      <c r="D318" s="4">
        <f>INDEX(Tramos!$N$5:$N$112,MATCH(A318,Tramos!$A$5:$A$112,0))</f>
        <v/>
      </c>
      <c r="E318" s="13">
        <f>INDEX(Tramos!$P$5:$P$112,MATCH(A318,Tramos!$A$5:$A$112,0))</f>
        <v/>
      </c>
      <c r="F318" s="11">
        <f>INDEX(Tramos!$X$5:$X$112,MATCH(A318,Tramos!$A$5:$A$112,0))</f>
        <v/>
      </c>
      <c r="G318" s="13">
        <f>SUM(F$318:F318)</f>
        <v/>
      </c>
    </row>
    <row r="319">
      <c r="A319" s="4" t="inlineStr">
        <is>
          <t>CBR1</t>
        </is>
      </c>
      <c r="B319" s="4">
        <f>INDEX(Tramos!$B$5:$B$112,MATCH(A319,Tramos!$A$5:$A$112,0))</f>
        <v/>
      </c>
      <c r="C319" s="11">
        <f>INDEX(Tramos!$K$5:$K$112,MATCH(A319,Tramos!$A$5:$A$112,0))</f>
        <v/>
      </c>
      <c r="D319" s="4">
        <f>INDEX(Tramos!$N$5:$N$112,MATCH(A319,Tramos!$A$5:$A$112,0))</f>
        <v/>
      </c>
      <c r="E319" s="13">
        <f>INDEX(Tramos!$P$5:$P$112,MATCH(A319,Tramos!$A$5:$A$112,0))</f>
        <v/>
      </c>
      <c r="F319" s="11">
        <f>INDEX(Tramos!$X$5:$X$112,MATCH(A319,Tramos!$A$5:$A$112,0))</f>
        <v/>
      </c>
      <c r="G319" s="13">
        <f>SUM(F$318:F319)</f>
        <v/>
      </c>
    </row>
    <row r="320">
      <c r="A320" s="4" t="inlineStr">
        <is>
          <t>MCBR1</t>
        </is>
      </c>
      <c r="B320" s="4">
        <f>INDEX(Tramos!$B$5:$B$112,MATCH(A320,Tramos!$A$5:$A$112,0))</f>
        <v/>
      </c>
      <c r="C320" s="11">
        <f>INDEX(Tramos!$K$5:$K$112,MATCH(A320,Tramos!$A$5:$A$112,0))</f>
        <v/>
      </c>
      <c r="D320" s="4">
        <f>INDEX(Tramos!$N$5:$N$112,MATCH(A320,Tramos!$A$5:$A$112,0))</f>
        <v/>
      </c>
      <c r="E320" s="13">
        <f>INDEX(Tramos!$P$5:$P$112,MATCH(A320,Tramos!$A$5:$A$112,0))</f>
        <v/>
      </c>
      <c r="F320" s="11">
        <f>INDEX(Tramos!$X$5:$X$112,MATCH(A320,Tramos!$A$5:$A$112,0))</f>
        <v/>
      </c>
      <c r="G320" s="13">
        <f>SUM(F$318:F320)</f>
        <v/>
      </c>
    </row>
    <row r="321">
      <c r="A321" s="4" t="inlineStr">
        <is>
          <t>MCBR2</t>
        </is>
      </c>
      <c r="B321" s="4">
        <f>INDEX(Tramos!$B$5:$B$112,MATCH(A321,Tramos!$A$5:$A$112,0))</f>
        <v/>
      </c>
      <c r="C321" s="11">
        <f>INDEX(Tramos!$K$5:$K$112,MATCH(A321,Tramos!$A$5:$A$112,0))</f>
        <v/>
      </c>
      <c r="D321" s="4">
        <f>INDEX(Tramos!$N$5:$N$112,MATCH(A321,Tramos!$A$5:$A$112,0))</f>
        <v/>
      </c>
      <c r="E321" s="13">
        <f>INDEX(Tramos!$P$5:$P$112,MATCH(A321,Tramos!$A$5:$A$112,0))</f>
        <v/>
      </c>
      <c r="F321" s="11">
        <f>INDEX(Tramos!$X$5:$X$112,MATCH(A321,Tramos!$A$5:$A$112,0))</f>
        <v/>
      </c>
      <c r="G321" s="13">
        <f>SUM(F$318:F321)</f>
        <v/>
      </c>
    </row>
    <row r="322">
      <c r="A322" s="4" t="inlineStr">
        <is>
          <t>MCBR3</t>
        </is>
      </c>
      <c r="B322" s="4">
        <f>INDEX(Tramos!$B$5:$B$112,MATCH(A322,Tramos!$A$5:$A$112,0))</f>
        <v/>
      </c>
      <c r="C322" s="11">
        <f>INDEX(Tramos!$K$5:$K$112,MATCH(A322,Tramos!$A$5:$A$112,0))</f>
        <v/>
      </c>
      <c r="D322" s="4">
        <f>INDEX(Tramos!$N$5:$N$112,MATCH(A322,Tramos!$A$5:$A$112,0))</f>
        <v/>
      </c>
      <c r="E322" s="13">
        <f>INDEX(Tramos!$P$5:$P$112,MATCH(A322,Tramos!$A$5:$A$112,0))</f>
        <v/>
      </c>
      <c r="F322" s="11">
        <f>INDEX(Tramos!$X$5:$X$112,MATCH(A322,Tramos!$A$5:$A$112,0))</f>
        <v/>
      </c>
      <c r="G322" s="13">
        <f>SUM(F$318:F322)</f>
        <v/>
      </c>
    </row>
    <row r="323">
      <c r="A323" s="4" t="inlineStr">
        <is>
          <t>MCBR4</t>
        </is>
      </c>
      <c r="B323" s="4">
        <f>INDEX(Tramos!$B$5:$B$112,MATCH(A323,Tramos!$A$5:$A$112,0))</f>
        <v/>
      </c>
      <c r="C323" s="11">
        <f>INDEX(Tramos!$K$5:$K$112,MATCH(A323,Tramos!$A$5:$A$112,0))</f>
        <v/>
      </c>
      <c r="D323" s="4">
        <f>INDEX(Tramos!$N$5:$N$112,MATCH(A323,Tramos!$A$5:$A$112,0))</f>
        <v/>
      </c>
      <c r="E323" s="13">
        <f>INDEX(Tramos!$P$5:$P$112,MATCH(A323,Tramos!$A$5:$A$112,0))</f>
        <v/>
      </c>
      <c r="F323" s="11">
        <f>INDEX(Tramos!$X$5:$X$112,MATCH(A323,Tramos!$A$5:$A$112,0))</f>
        <v/>
      </c>
      <c r="G323" s="13">
        <f>SUM(F$318:F323)</f>
        <v/>
      </c>
    </row>
    <row r="324">
      <c r="A324" s="4" t="inlineStr">
        <is>
          <t>MCBR5</t>
        </is>
      </c>
      <c r="B324" s="4">
        <f>INDEX(Tramos!$B$5:$B$112,MATCH(A324,Tramos!$A$5:$A$112,0))</f>
        <v/>
      </c>
      <c r="C324" s="11">
        <f>INDEX(Tramos!$K$5:$K$112,MATCH(A324,Tramos!$A$5:$A$112,0))</f>
        <v/>
      </c>
      <c r="D324" s="4">
        <f>INDEX(Tramos!$N$5:$N$112,MATCH(A324,Tramos!$A$5:$A$112,0))</f>
        <v/>
      </c>
      <c r="E324" s="13">
        <f>INDEX(Tramos!$P$5:$P$112,MATCH(A324,Tramos!$A$5:$A$112,0))</f>
        <v/>
      </c>
      <c r="F324" s="11">
        <f>INDEX(Tramos!$X$5:$X$112,MATCH(A324,Tramos!$A$5:$A$112,0))</f>
        <v/>
      </c>
      <c r="G324" s="13">
        <f>SUM(F$318:F324)</f>
        <v/>
      </c>
    </row>
    <row r="325">
      <c r="A325" s="4" t="inlineStr">
        <is>
          <t>MCBR6</t>
        </is>
      </c>
      <c r="B325" s="4">
        <f>INDEX(Tramos!$B$5:$B$112,MATCH(A325,Tramos!$A$5:$A$112,0))</f>
        <v/>
      </c>
      <c r="C325" s="11">
        <f>INDEX(Tramos!$K$5:$K$112,MATCH(A325,Tramos!$A$5:$A$112,0))</f>
        <v/>
      </c>
      <c r="D325" s="4">
        <f>INDEX(Tramos!$N$5:$N$112,MATCH(A325,Tramos!$A$5:$A$112,0))</f>
        <v/>
      </c>
      <c r="E325" s="13">
        <f>INDEX(Tramos!$P$5:$P$112,MATCH(A325,Tramos!$A$5:$A$112,0))</f>
        <v/>
      </c>
      <c r="F325" s="11">
        <f>INDEX(Tramos!$X$5:$X$112,MATCH(A325,Tramos!$A$5:$A$112,0))</f>
        <v/>
      </c>
      <c r="G325" s="13">
        <f>SUM(F$318:F325)</f>
        <v/>
      </c>
    </row>
    <row r="326">
      <c r="A326" s="4" t="inlineStr">
        <is>
          <t>MCBR7</t>
        </is>
      </c>
      <c r="B326" s="4">
        <f>INDEX(Tramos!$B$5:$B$112,MATCH(A326,Tramos!$A$5:$A$112,0))</f>
        <v/>
      </c>
      <c r="C326" s="11">
        <f>INDEX(Tramos!$K$5:$K$112,MATCH(A326,Tramos!$A$5:$A$112,0))</f>
        <v/>
      </c>
      <c r="D326" s="4">
        <f>INDEX(Tramos!$N$5:$N$112,MATCH(A326,Tramos!$A$5:$A$112,0))</f>
        <v/>
      </c>
      <c r="E326" s="13">
        <f>INDEX(Tramos!$P$5:$P$112,MATCH(A326,Tramos!$A$5:$A$112,0))</f>
        <v/>
      </c>
      <c r="F326" s="11">
        <f>INDEX(Tramos!$X$5:$X$112,MATCH(A326,Tramos!$A$5:$A$112,0))</f>
        <v/>
      </c>
      <c r="G326" s="13">
        <f>SUM(F$318:F326)</f>
        <v/>
      </c>
    </row>
    <row r="327">
      <c r="A327" s="4" t="inlineStr">
        <is>
          <t>RR1C</t>
        </is>
      </c>
      <c r="B327" s="4">
        <f>INDEX(Tramos!$B$5:$B$112,MATCH(A327,Tramos!$A$5:$A$112,0))</f>
        <v/>
      </c>
      <c r="C327" s="11">
        <f>INDEX(Tramos!$K$5:$K$112,MATCH(A327,Tramos!$A$5:$A$112,0))</f>
        <v/>
      </c>
      <c r="D327" s="4">
        <f>INDEX(Tramos!$N$5:$N$112,MATCH(A327,Tramos!$A$5:$A$112,0))</f>
        <v/>
      </c>
      <c r="E327" s="13">
        <f>INDEX(Tramos!$P$5:$P$112,MATCH(A327,Tramos!$A$5:$A$112,0))</f>
        <v/>
      </c>
      <c r="F327" s="11">
        <f>INDEX(Tramos!$X$5:$X$112,MATCH(A327,Tramos!$A$5:$A$112,0))</f>
        <v/>
      </c>
      <c r="G327" s="13">
        <f>SUM(F$318:F327)</f>
        <v/>
      </c>
    </row>
    <row r="328">
      <c r="A328" s="4" t="inlineStr">
        <is>
          <t>RR2C</t>
        </is>
      </c>
      <c r="B328" s="4">
        <f>INDEX(Tramos!$B$5:$B$112,MATCH(A328,Tramos!$A$5:$A$112,0))</f>
        <v/>
      </c>
      <c r="C328" s="11">
        <f>INDEX(Tramos!$K$5:$K$112,MATCH(A328,Tramos!$A$5:$A$112,0))</f>
        <v/>
      </c>
      <c r="D328" s="4">
        <f>INDEX(Tramos!$N$5:$N$112,MATCH(A328,Tramos!$A$5:$A$112,0))</f>
        <v/>
      </c>
      <c r="E328" s="13">
        <f>INDEX(Tramos!$P$5:$P$112,MATCH(A328,Tramos!$A$5:$A$112,0))</f>
        <v/>
      </c>
      <c r="F328" s="11">
        <f>INDEX(Tramos!$X$5:$X$112,MATCH(A328,Tramos!$A$5:$A$112,0))</f>
        <v/>
      </c>
      <c r="G328" s="13">
        <f>SUM(F$318:F328)</f>
        <v/>
      </c>
    </row>
    <row r="329">
      <c r="A329" s="4" t="inlineStr">
        <is>
          <t>RR3C</t>
        </is>
      </c>
      <c r="B329" s="4">
        <f>INDEX(Tramos!$B$5:$B$112,MATCH(A329,Tramos!$A$5:$A$112,0))</f>
        <v/>
      </c>
      <c r="C329" s="11">
        <f>INDEX(Tramos!$K$5:$K$112,MATCH(A329,Tramos!$A$5:$A$112,0))</f>
        <v/>
      </c>
      <c r="D329" s="4">
        <f>INDEX(Tramos!$N$5:$N$112,MATCH(A329,Tramos!$A$5:$A$112,0))</f>
        <v/>
      </c>
      <c r="E329" s="13">
        <f>INDEX(Tramos!$P$5:$P$112,MATCH(A329,Tramos!$A$5:$A$112,0))</f>
        <v/>
      </c>
      <c r="F329" s="11">
        <f>INDEX(Tramos!$X$5:$X$112,MATCH(A329,Tramos!$A$5:$A$112,0))</f>
        <v/>
      </c>
      <c r="G329" s="13">
        <f>SUM(F$318:F329)</f>
        <v/>
      </c>
    </row>
    <row r="330">
      <c r="A330" s="4" t="inlineStr">
        <is>
          <t>RR4C</t>
        </is>
      </c>
      <c r="B330" s="4">
        <f>INDEX(Tramos!$B$5:$B$112,MATCH(A330,Tramos!$A$5:$A$112,0))</f>
        <v/>
      </c>
      <c r="C330" s="11">
        <f>INDEX(Tramos!$K$5:$K$112,MATCH(A330,Tramos!$A$5:$A$112,0))</f>
        <v/>
      </c>
      <c r="D330" s="4">
        <f>INDEX(Tramos!$N$5:$N$112,MATCH(A330,Tramos!$A$5:$A$112,0))</f>
        <v/>
      </c>
      <c r="E330" s="13">
        <f>INDEX(Tramos!$P$5:$P$112,MATCH(A330,Tramos!$A$5:$A$112,0))</f>
        <v/>
      </c>
      <c r="F330" s="11">
        <f>INDEX(Tramos!$X$5:$X$112,MATCH(A330,Tramos!$A$5:$A$112,0))</f>
        <v/>
      </c>
      <c r="G330" s="13">
        <f>SUM(F$318:F330)</f>
        <v/>
      </c>
    </row>
    <row r="331">
      <c r="A331" s="4" t="inlineStr">
        <is>
          <t>RR5C</t>
        </is>
      </c>
      <c r="B331" s="4">
        <f>INDEX(Tramos!$B$5:$B$112,MATCH(A331,Tramos!$A$5:$A$112,0))</f>
        <v/>
      </c>
      <c r="C331" s="11">
        <f>INDEX(Tramos!$K$5:$K$112,MATCH(A331,Tramos!$A$5:$A$112,0))</f>
        <v/>
      </c>
      <c r="D331" s="4">
        <f>INDEX(Tramos!$N$5:$N$112,MATCH(A331,Tramos!$A$5:$A$112,0))</f>
        <v/>
      </c>
      <c r="E331" s="13">
        <f>INDEX(Tramos!$P$5:$P$112,MATCH(A331,Tramos!$A$5:$A$112,0))</f>
        <v/>
      </c>
      <c r="F331" s="11">
        <f>INDEX(Tramos!$X$5:$X$112,MATCH(A331,Tramos!$A$5:$A$112,0))</f>
        <v/>
      </c>
      <c r="G331" s="13">
        <f>SUM(F$318:F331)</f>
        <v/>
      </c>
    </row>
    <row r="332">
      <c r="A332" s="4" t="inlineStr">
        <is>
          <t>RR6C</t>
        </is>
      </c>
      <c r="B332" s="4">
        <f>INDEX(Tramos!$B$5:$B$112,MATCH(A332,Tramos!$A$5:$A$112,0))</f>
        <v/>
      </c>
      <c r="C332" s="11">
        <f>INDEX(Tramos!$K$5:$K$112,MATCH(A332,Tramos!$A$5:$A$112,0))</f>
        <v/>
      </c>
      <c r="D332" s="4">
        <f>INDEX(Tramos!$N$5:$N$112,MATCH(A332,Tramos!$A$5:$A$112,0))</f>
        <v/>
      </c>
      <c r="E332" s="13">
        <f>INDEX(Tramos!$P$5:$P$112,MATCH(A332,Tramos!$A$5:$A$112,0))</f>
        <v/>
      </c>
      <c r="F332" s="11">
        <f>INDEX(Tramos!$X$5:$X$112,MATCH(A332,Tramos!$A$5:$A$112,0))</f>
        <v/>
      </c>
      <c r="G332" s="13">
        <f>SUM(F$318:F332)</f>
        <v/>
      </c>
    </row>
    <row r="333">
      <c r="A333" s="4" t="inlineStr">
        <is>
          <t>HC1</t>
        </is>
      </c>
      <c r="B333" s="4">
        <f>INDEX(Tramos!$B$5:$B$112,MATCH(A333,Tramos!$A$5:$A$112,0))</f>
        <v/>
      </c>
      <c r="C333" s="11">
        <f>INDEX(Tramos!$K$5:$K$112,MATCH(A333,Tramos!$A$5:$A$112,0))</f>
        <v/>
      </c>
      <c r="D333" s="4">
        <f>INDEX(Tramos!$N$5:$N$112,MATCH(A333,Tramos!$A$5:$A$112,0))</f>
        <v/>
      </c>
      <c r="E333" s="13">
        <f>INDEX(Tramos!$P$5:$P$112,MATCH(A333,Tramos!$A$5:$A$112,0))</f>
        <v/>
      </c>
      <c r="F333" s="11">
        <f>INDEX(Tramos!$X$5:$X$112,MATCH(A333,Tramos!$A$5:$A$112,0))</f>
        <v/>
      </c>
      <c r="G333" s="13">
        <f>SUM(F$318:F333)</f>
        <v/>
      </c>
    </row>
    <row r="334">
      <c r="A334" s="4" t="inlineStr">
        <is>
          <t>HC2</t>
        </is>
      </c>
      <c r="B334" s="4">
        <f>INDEX(Tramos!$B$5:$B$112,MATCH(A334,Tramos!$A$5:$A$112,0))</f>
        <v/>
      </c>
      <c r="C334" s="11">
        <f>INDEX(Tramos!$K$5:$K$112,MATCH(A334,Tramos!$A$5:$A$112,0))</f>
        <v/>
      </c>
      <c r="D334" s="4">
        <f>INDEX(Tramos!$N$5:$N$112,MATCH(A334,Tramos!$A$5:$A$112,0))</f>
        <v/>
      </c>
      <c r="E334" s="13">
        <f>INDEX(Tramos!$P$5:$P$112,MATCH(A334,Tramos!$A$5:$A$112,0))</f>
        <v/>
      </c>
      <c r="F334" s="11">
        <f>INDEX(Tramos!$X$5:$X$112,MATCH(A334,Tramos!$A$5:$A$112,0))</f>
        <v/>
      </c>
      <c r="G334" s="13">
        <f>SUM(F$318:F334)</f>
        <v/>
      </c>
    </row>
    <row r="335">
      <c r="A335" s="4" t="inlineStr">
        <is>
          <t>HC3</t>
        </is>
      </c>
      <c r="B335" s="4">
        <f>INDEX(Tramos!$B$5:$B$112,MATCH(A335,Tramos!$A$5:$A$112,0))</f>
        <v/>
      </c>
      <c r="C335" s="11">
        <f>INDEX(Tramos!$K$5:$K$112,MATCH(A335,Tramos!$A$5:$A$112,0))</f>
        <v/>
      </c>
      <c r="D335" s="4">
        <f>INDEX(Tramos!$N$5:$N$112,MATCH(A335,Tramos!$A$5:$A$112,0))</f>
        <v/>
      </c>
      <c r="E335" s="13">
        <f>INDEX(Tramos!$P$5:$P$112,MATCH(A335,Tramos!$A$5:$A$112,0))</f>
        <v/>
      </c>
      <c r="F335" s="11">
        <f>INDEX(Tramos!$X$5:$X$112,MATCH(A335,Tramos!$A$5:$A$112,0))</f>
        <v/>
      </c>
      <c r="G335" s="13">
        <f>SUM(F$318:F335)</f>
        <v/>
      </c>
    </row>
    <row r="338">
      <c r="A338" s="3" t="inlineStr">
        <is>
          <t>R16 ACS baja E · P7 · bañera</t>
        </is>
      </c>
      <c r="B338" s="3" t="inlineStr">
        <is>
          <t>Descripción</t>
        </is>
      </c>
      <c r="C338" s="3" t="inlineStr">
        <is>
          <t>Qc (l/s)</t>
        </is>
      </c>
      <c r="D338" s="3" t="inlineStr">
        <is>
          <t>Designación</t>
        </is>
      </c>
      <c r="E338" s="3" t="inlineStr">
        <is>
          <t>v (m/s)</t>
        </is>
      </c>
      <c r="F338" s="3" t="inlineStr">
        <is>
          <t>hf+hm (mca)</t>
        </is>
      </c>
      <c r="G338" s="3" t="inlineStr">
        <is>
          <t>Σ acumulada (mca)</t>
        </is>
      </c>
    </row>
    <row r="339">
      <c r="A339" s="4" t="inlineStr">
        <is>
          <t>CB0</t>
        </is>
      </c>
      <c r="B339" s="4">
        <f>INDEX(Tramos!$B$5:$B$112,MATCH(A339,Tramos!$A$5:$A$112,0))</f>
        <v/>
      </c>
      <c r="C339" s="11">
        <f>INDEX(Tramos!$K$5:$K$112,MATCH(A339,Tramos!$A$5:$A$112,0))</f>
        <v/>
      </c>
      <c r="D339" s="4">
        <f>INDEX(Tramos!$N$5:$N$112,MATCH(A339,Tramos!$A$5:$A$112,0))</f>
        <v/>
      </c>
      <c r="E339" s="13">
        <f>INDEX(Tramos!$P$5:$P$112,MATCH(A339,Tramos!$A$5:$A$112,0))</f>
        <v/>
      </c>
      <c r="F339" s="11">
        <f>INDEX(Tramos!$X$5:$X$112,MATCH(A339,Tramos!$A$5:$A$112,0))</f>
        <v/>
      </c>
      <c r="G339" s="13">
        <f>SUM(F$339:F339)</f>
        <v/>
      </c>
    </row>
    <row r="340">
      <c r="A340" s="4" t="inlineStr">
        <is>
          <t>CBR1</t>
        </is>
      </c>
      <c r="B340" s="4">
        <f>INDEX(Tramos!$B$5:$B$112,MATCH(A340,Tramos!$A$5:$A$112,0))</f>
        <v/>
      </c>
      <c r="C340" s="11">
        <f>INDEX(Tramos!$K$5:$K$112,MATCH(A340,Tramos!$A$5:$A$112,0))</f>
        <v/>
      </c>
      <c r="D340" s="4">
        <f>INDEX(Tramos!$N$5:$N$112,MATCH(A340,Tramos!$A$5:$A$112,0))</f>
        <v/>
      </c>
      <c r="E340" s="13">
        <f>INDEX(Tramos!$P$5:$P$112,MATCH(A340,Tramos!$A$5:$A$112,0))</f>
        <v/>
      </c>
      <c r="F340" s="11">
        <f>INDEX(Tramos!$X$5:$X$112,MATCH(A340,Tramos!$A$5:$A$112,0))</f>
        <v/>
      </c>
      <c r="G340" s="13">
        <f>SUM(F$339:F340)</f>
        <v/>
      </c>
    </row>
    <row r="341">
      <c r="A341" s="4" t="inlineStr">
        <is>
          <t>MCBR1</t>
        </is>
      </c>
      <c r="B341" s="4">
        <f>INDEX(Tramos!$B$5:$B$112,MATCH(A341,Tramos!$A$5:$A$112,0))</f>
        <v/>
      </c>
      <c r="C341" s="11">
        <f>INDEX(Tramos!$K$5:$K$112,MATCH(A341,Tramos!$A$5:$A$112,0))</f>
        <v/>
      </c>
      <c r="D341" s="4">
        <f>INDEX(Tramos!$N$5:$N$112,MATCH(A341,Tramos!$A$5:$A$112,0))</f>
        <v/>
      </c>
      <c r="E341" s="13">
        <f>INDEX(Tramos!$P$5:$P$112,MATCH(A341,Tramos!$A$5:$A$112,0))</f>
        <v/>
      </c>
      <c r="F341" s="11">
        <f>INDEX(Tramos!$X$5:$X$112,MATCH(A341,Tramos!$A$5:$A$112,0))</f>
        <v/>
      </c>
      <c r="G341" s="13">
        <f>SUM(F$339:F341)</f>
        <v/>
      </c>
    </row>
    <row r="342">
      <c r="A342" s="4" t="inlineStr">
        <is>
          <t>MCBR2</t>
        </is>
      </c>
      <c r="B342" s="4">
        <f>INDEX(Tramos!$B$5:$B$112,MATCH(A342,Tramos!$A$5:$A$112,0))</f>
        <v/>
      </c>
      <c r="C342" s="11">
        <f>INDEX(Tramos!$K$5:$K$112,MATCH(A342,Tramos!$A$5:$A$112,0))</f>
        <v/>
      </c>
      <c r="D342" s="4">
        <f>INDEX(Tramos!$N$5:$N$112,MATCH(A342,Tramos!$A$5:$A$112,0))</f>
        <v/>
      </c>
      <c r="E342" s="13">
        <f>INDEX(Tramos!$P$5:$P$112,MATCH(A342,Tramos!$A$5:$A$112,0))</f>
        <v/>
      </c>
      <c r="F342" s="11">
        <f>INDEX(Tramos!$X$5:$X$112,MATCH(A342,Tramos!$A$5:$A$112,0))</f>
        <v/>
      </c>
      <c r="G342" s="13">
        <f>SUM(F$339:F342)</f>
        <v/>
      </c>
    </row>
    <row r="343">
      <c r="A343" s="4" t="inlineStr">
        <is>
          <t>MCBR3</t>
        </is>
      </c>
      <c r="B343" s="4">
        <f>INDEX(Tramos!$B$5:$B$112,MATCH(A343,Tramos!$A$5:$A$112,0))</f>
        <v/>
      </c>
      <c r="C343" s="11">
        <f>INDEX(Tramos!$K$5:$K$112,MATCH(A343,Tramos!$A$5:$A$112,0))</f>
        <v/>
      </c>
      <c r="D343" s="4">
        <f>INDEX(Tramos!$N$5:$N$112,MATCH(A343,Tramos!$A$5:$A$112,0))</f>
        <v/>
      </c>
      <c r="E343" s="13">
        <f>INDEX(Tramos!$P$5:$P$112,MATCH(A343,Tramos!$A$5:$A$112,0))</f>
        <v/>
      </c>
      <c r="F343" s="11">
        <f>INDEX(Tramos!$X$5:$X$112,MATCH(A343,Tramos!$A$5:$A$112,0))</f>
        <v/>
      </c>
      <c r="G343" s="13">
        <f>SUM(F$339:F343)</f>
        <v/>
      </c>
    </row>
    <row r="344">
      <c r="A344" s="4" t="inlineStr">
        <is>
          <t>MCBR4</t>
        </is>
      </c>
      <c r="B344" s="4">
        <f>INDEX(Tramos!$B$5:$B$112,MATCH(A344,Tramos!$A$5:$A$112,0))</f>
        <v/>
      </c>
      <c r="C344" s="11">
        <f>INDEX(Tramos!$K$5:$K$112,MATCH(A344,Tramos!$A$5:$A$112,0))</f>
        <v/>
      </c>
      <c r="D344" s="4">
        <f>INDEX(Tramos!$N$5:$N$112,MATCH(A344,Tramos!$A$5:$A$112,0))</f>
        <v/>
      </c>
      <c r="E344" s="13">
        <f>INDEX(Tramos!$P$5:$P$112,MATCH(A344,Tramos!$A$5:$A$112,0))</f>
        <v/>
      </c>
      <c r="F344" s="11">
        <f>INDEX(Tramos!$X$5:$X$112,MATCH(A344,Tramos!$A$5:$A$112,0))</f>
        <v/>
      </c>
      <c r="G344" s="13">
        <f>SUM(F$339:F344)</f>
        <v/>
      </c>
    </row>
    <row r="345">
      <c r="A345" s="4" t="inlineStr">
        <is>
          <t>MCBR5</t>
        </is>
      </c>
      <c r="B345" s="4">
        <f>INDEX(Tramos!$B$5:$B$112,MATCH(A345,Tramos!$A$5:$A$112,0))</f>
        <v/>
      </c>
      <c r="C345" s="11">
        <f>INDEX(Tramos!$K$5:$K$112,MATCH(A345,Tramos!$A$5:$A$112,0))</f>
        <v/>
      </c>
      <c r="D345" s="4">
        <f>INDEX(Tramos!$N$5:$N$112,MATCH(A345,Tramos!$A$5:$A$112,0))</f>
        <v/>
      </c>
      <c r="E345" s="13">
        <f>INDEX(Tramos!$P$5:$P$112,MATCH(A345,Tramos!$A$5:$A$112,0))</f>
        <v/>
      </c>
      <c r="F345" s="11">
        <f>INDEX(Tramos!$X$5:$X$112,MATCH(A345,Tramos!$A$5:$A$112,0))</f>
        <v/>
      </c>
      <c r="G345" s="13">
        <f>SUM(F$339:F345)</f>
        <v/>
      </c>
    </row>
    <row r="346">
      <c r="A346" s="4" t="inlineStr">
        <is>
          <t>MCBR6</t>
        </is>
      </c>
      <c r="B346" s="4">
        <f>INDEX(Tramos!$B$5:$B$112,MATCH(A346,Tramos!$A$5:$A$112,0))</f>
        <v/>
      </c>
      <c r="C346" s="11">
        <f>INDEX(Tramos!$K$5:$K$112,MATCH(A346,Tramos!$A$5:$A$112,0))</f>
        <v/>
      </c>
      <c r="D346" s="4">
        <f>INDEX(Tramos!$N$5:$N$112,MATCH(A346,Tramos!$A$5:$A$112,0))</f>
        <v/>
      </c>
      <c r="E346" s="13">
        <f>INDEX(Tramos!$P$5:$P$112,MATCH(A346,Tramos!$A$5:$A$112,0))</f>
        <v/>
      </c>
      <c r="F346" s="11">
        <f>INDEX(Tramos!$X$5:$X$112,MATCH(A346,Tramos!$A$5:$A$112,0))</f>
        <v/>
      </c>
      <c r="G346" s="13">
        <f>SUM(F$339:F346)</f>
        <v/>
      </c>
    </row>
    <row r="347">
      <c r="A347" s="4" t="inlineStr">
        <is>
          <t>MCBR7</t>
        </is>
      </c>
      <c r="B347" s="4">
        <f>INDEX(Tramos!$B$5:$B$112,MATCH(A347,Tramos!$A$5:$A$112,0))</f>
        <v/>
      </c>
      <c r="C347" s="11">
        <f>INDEX(Tramos!$K$5:$K$112,MATCH(A347,Tramos!$A$5:$A$112,0))</f>
        <v/>
      </c>
      <c r="D347" s="4">
        <f>INDEX(Tramos!$N$5:$N$112,MATCH(A347,Tramos!$A$5:$A$112,0))</f>
        <v/>
      </c>
      <c r="E347" s="13">
        <f>INDEX(Tramos!$P$5:$P$112,MATCH(A347,Tramos!$A$5:$A$112,0))</f>
        <v/>
      </c>
      <c r="F347" s="11">
        <f>INDEX(Tramos!$X$5:$X$112,MATCH(A347,Tramos!$A$5:$A$112,0))</f>
        <v/>
      </c>
      <c r="G347" s="13">
        <f>SUM(F$339:F347)</f>
        <v/>
      </c>
    </row>
    <row r="348">
      <c r="A348" s="4" t="inlineStr">
        <is>
          <t>RR1C</t>
        </is>
      </c>
      <c r="B348" s="4">
        <f>INDEX(Tramos!$B$5:$B$112,MATCH(A348,Tramos!$A$5:$A$112,0))</f>
        <v/>
      </c>
      <c r="C348" s="11">
        <f>INDEX(Tramos!$K$5:$K$112,MATCH(A348,Tramos!$A$5:$A$112,0))</f>
        <v/>
      </c>
      <c r="D348" s="4">
        <f>INDEX(Tramos!$N$5:$N$112,MATCH(A348,Tramos!$A$5:$A$112,0))</f>
        <v/>
      </c>
      <c r="E348" s="13">
        <f>INDEX(Tramos!$P$5:$P$112,MATCH(A348,Tramos!$A$5:$A$112,0))</f>
        <v/>
      </c>
      <c r="F348" s="11">
        <f>INDEX(Tramos!$X$5:$X$112,MATCH(A348,Tramos!$A$5:$A$112,0))</f>
        <v/>
      </c>
      <c r="G348" s="13">
        <f>SUM(F$339:F348)</f>
        <v/>
      </c>
    </row>
    <row r="349">
      <c r="A349" s="4" t="inlineStr">
        <is>
          <t>RR2C</t>
        </is>
      </c>
      <c r="B349" s="4">
        <f>INDEX(Tramos!$B$5:$B$112,MATCH(A349,Tramos!$A$5:$A$112,0))</f>
        <v/>
      </c>
      <c r="C349" s="11">
        <f>INDEX(Tramos!$K$5:$K$112,MATCH(A349,Tramos!$A$5:$A$112,0))</f>
        <v/>
      </c>
      <c r="D349" s="4">
        <f>INDEX(Tramos!$N$5:$N$112,MATCH(A349,Tramos!$A$5:$A$112,0))</f>
        <v/>
      </c>
      <c r="E349" s="13">
        <f>INDEX(Tramos!$P$5:$P$112,MATCH(A349,Tramos!$A$5:$A$112,0))</f>
        <v/>
      </c>
      <c r="F349" s="11">
        <f>INDEX(Tramos!$X$5:$X$112,MATCH(A349,Tramos!$A$5:$A$112,0))</f>
        <v/>
      </c>
      <c r="G349" s="13">
        <f>SUM(F$339:F349)</f>
        <v/>
      </c>
    </row>
    <row r="350">
      <c r="A350" s="4" t="inlineStr">
        <is>
          <t>RR3C</t>
        </is>
      </c>
      <c r="B350" s="4">
        <f>INDEX(Tramos!$B$5:$B$112,MATCH(A350,Tramos!$A$5:$A$112,0))</f>
        <v/>
      </c>
      <c r="C350" s="11">
        <f>INDEX(Tramos!$K$5:$K$112,MATCH(A350,Tramos!$A$5:$A$112,0))</f>
        <v/>
      </c>
      <c r="D350" s="4">
        <f>INDEX(Tramos!$N$5:$N$112,MATCH(A350,Tramos!$A$5:$A$112,0))</f>
        <v/>
      </c>
      <c r="E350" s="13">
        <f>INDEX(Tramos!$P$5:$P$112,MATCH(A350,Tramos!$A$5:$A$112,0))</f>
        <v/>
      </c>
      <c r="F350" s="11">
        <f>INDEX(Tramos!$X$5:$X$112,MATCH(A350,Tramos!$A$5:$A$112,0))</f>
        <v/>
      </c>
      <c r="G350" s="13">
        <f>SUM(F$339:F350)</f>
        <v/>
      </c>
    </row>
    <row r="351">
      <c r="A351" s="4" t="inlineStr">
        <is>
          <t>RR4C</t>
        </is>
      </c>
      <c r="B351" s="4">
        <f>INDEX(Tramos!$B$5:$B$112,MATCH(A351,Tramos!$A$5:$A$112,0))</f>
        <v/>
      </c>
      <c r="C351" s="11">
        <f>INDEX(Tramos!$K$5:$K$112,MATCH(A351,Tramos!$A$5:$A$112,0))</f>
        <v/>
      </c>
      <c r="D351" s="4">
        <f>INDEX(Tramos!$N$5:$N$112,MATCH(A351,Tramos!$A$5:$A$112,0))</f>
        <v/>
      </c>
      <c r="E351" s="13">
        <f>INDEX(Tramos!$P$5:$P$112,MATCH(A351,Tramos!$A$5:$A$112,0))</f>
        <v/>
      </c>
      <c r="F351" s="11">
        <f>INDEX(Tramos!$X$5:$X$112,MATCH(A351,Tramos!$A$5:$A$112,0))</f>
        <v/>
      </c>
      <c r="G351" s="13">
        <f>SUM(F$339:F351)</f>
        <v/>
      </c>
    </row>
    <row r="352">
      <c r="A352" s="4" t="inlineStr">
        <is>
          <t>RR5C</t>
        </is>
      </c>
      <c r="B352" s="4">
        <f>INDEX(Tramos!$B$5:$B$112,MATCH(A352,Tramos!$A$5:$A$112,0))</f>
        <v/>
      </c>
      <c r="C352" s="11">
        <f>INDEX(Tramos!$K$5:$K$112,MATCH(A352,Tramos!$A$5:$A$112,0))</f>
        <v/>
      </c>
      <c r="D352" s="4">
        <f>INDEX(Tramos!$N$5:$N$112,MATCH(A352,Tramos!$A$5:$A$112,0))</f>
        <v/>
      </c>
      <c r="E352" s="13">
        <f>INDEX(Tramos!$P$5:$P$112,MATCH(A352,Tramos!$A$5:$A$112,0))</f>
        <v/>
      </c>
      <c r="F352" s="11">
        <f>INDEX(Tramos!$X$5:$X$112,MATCH(A352,Tramos!$A$5:$A$112,0))</f>
        <v/>
      </c>
      <c r="G352" s="13">
        <f>SUM(F$339:F352)</f>
        <v/>
      </c>
    </row>
    <row r="353">
      <c r="A353" s="4" t="inlineStr">
        <is>
          <t>RR6C</t>
        </is>
      </c>
      <c r="B353" s="4">
        <f>INDEX(Tramos!$B$5:$B$112,MATCH(A353,Tramos!$A$5:$A$112,0))</f>
        <v/>
      </c>
      <c r="C353" s="11">
        <f>INDEX(Tramos!$K$5:$K$112,MATCH(A353,Tramos!$A$5:$A$112,0))</f>
        <v/>
      </c>
      <c r="D353" s="4">
        <f>INDEX(Tramos!$N$5:$N$112,MATCH(A353,Tramos!$A$5:$A$112,0))</f>
        <v/>
      </c>
      <c r="E353" s="13">
        <f>INDEX(Tramos!$P$5:$P$112,MATCH(A353,Tramos!$A$5:$A$112,0))</f>
        <v/>
      </c>
      <c r="F353" s="11">
        <f>INDEX(Tramos!$X$5:$X$112,MATCH(A353,Tramos!$A$5:$A$112,0))</f>
        <v/>
      </c>
      <c r="G353" s="13">
        <f>SUM(F$339:F353)</f>
        <v/>
      </c>
    </row>
    <row r="354">
      <c r="A354" s="4" t="inlineStr">
        <is>
          <t>HC1</t>
        </is>
      </c>
      <c r="B354" s="4">
        <f>INDEX(Tramos!$B$5:$B$112,MATCH(A354,Tramos!$A$5:$A$112,0))</f>
        <v/>
      </c>
      <c r="C354" s="11">
        <f>INDEX(Tramos!$K$5:$K$112,MATCH(A354,Tramos!$A$5:$A$112,0))</f>
        <v/>
      </c>
      <c r="D354" s="4">
        <f>INDEX(Tramos!$N$5:$N$112,MATCH(A354,Tramos!$A$5:$A$112,0))</f>
        <v/>
      </c>
      <c r="E354" s="13">
        <f>INDEX(Tramos!$P$5:$P$112,MATCH(A354,Tramos!$A$5:$A$112,0))</f>
        <v/>
      </c>
      <c r="F354" s="11">
        <f>INDEX(Tramos!$X$5:$X$112,MATCH(A354,Tramos!$A$5:$A$112,0))</f>
        <v/>
      </c>
      <c r="G354" s="13">
        <f>SUM(F$339:F354)</f>
        <v/>
      </c>
    </row>
    <row r="355">
      <c r="A355" s="4" t="inlineStr">
        <is>
          <t>HC4</t>
        </is>
      </c>
      <c r="B355" s="4">
        <f>INDEX(Tramos!$B$5:$B$112,MATCH(A355,Tramos!$A$5:$A$112,0))</f>
        <v/>
      </c>
      <c r="C355" s="11">
        <f>INDEX(Tramos!$K$5:$K$112,MATCH(A355,Tramos!$A$5:$A$112,0))</f>
        <v/>
      </c>
      <c r="D355" s="4">
        <f>INDEX(Tramos!$N$5:$N$112,MATCH(A355,Tramos!$A$5:$A$112,0))</f>
        <v/>
      </c>
      <c r="E355" s="13">
        <f>INDEX(Tramos!$P$5:$P$112,MATCH(A355,Tramos!$A$5:$A$112,0))</f>
        <v/>
      </c>
      <c r="F355" s="11">
        <f>INDEX(Tramos!$X$5:$X$112,MATCH(A355,Tramos!$A$5:$A$112,0))</f>
        <v/>
      </c>
      <c r="G355" s="13">
        <f>SUM(F$339:F355)</f>
        <v/>
      </c>
    </row>
    <row r="358">
      <c r="A358" s="3" t="inlineStr">
        <is>
          <t>R17 AF directo PB · hab. 002 · lavabo</t>
        </is>
      </c>
      <c r="B358" s="3" t="inlineStr">
        <is>
          <t>Descripción</t>
        </is>
      </c>
      <c r="C358" s="3" t="inlineStr">
        <is>
          <t>Qc (l/s)</t>
        </is>
      </c>
      <c r="D358" s="3" t="inlineStr">
        <is>
          <t>Designación</t>
        </is>
      </c>
      <c r="E358" s="3" t="inlineStr">
        <is>
          <t>v (m/s)</t>
        </is>
      </c>
      <c r="F358" s="3" t="inlineStr">
        <is>
          <t>hf+hm (mca)</t>
        </is>
      </c>
      <c r="G358" s="3" t="inlineStr">
        <is>
          <t>Σ acumulada (mca)</t>
        </is>
      </c>
    </row>
    <row r="359">
      <c r="A359" s="4" t="inlineStr">
        <is>
          <t>G1</t>
        </is>
      </c>
      <c r="B359" s="4">
        <f>INDEX(Tramos!$B$5:$B$112,MATCH(A359,Tramos!$A$5:$A$112,0))</f>
        <v/>
      </c>
      <c r="C359" s="11">
        <f>INDEX(Tramos!$K$5:$K$112,MATCH(A359,Tramos!$A$5:$A$112,0))</f>
        <v/>
      </c>
      <c r="D359" s="4">
        <f>INDEX(Tramos!$N$5:$N$112,MATCH(A359,Tramos!$A$5:$A$112,0))</f>
        <v/>
      </c>
      <c r="E359" s="13">
        <f>INDEX(Tramos!$P$5:$P$112,MATCH(A359,Tramos!$A$5:$A$112,0))</f>
        <v/>
      </c>
      <c r="F359" s="11">
        <f>INDEX(Tramos!$X$5:$X$112,MATCH(A359,Tramos!$A$5:$A$112,0))</f>
        <v/>
      </c>
      <c r="G359" s="13">
        <f>SUM(F$359:F359)</f>
        <v/>
      </c>
    </row>
    <row r="360">
      <c r="A360" s="4" t="inlineStr">
        <is>
          <t>E1</t>
        </is>
      </c>
      <c r="B360" s="4">
        <f>INDEX(Tramos!$B$5:$B$112,MATCH(A360,Tramos!$A$5:$A$112,0))</f>
        <v/>
      </c>
      <c r="C360" s="11">
        <f>INDEX(Tramos!$K$5:$K$112,MATCH(A360,Tramos!$A$5:$A$112,0))</f>
        <v/>
      </c>
      <c r="D360" s="4">
        <f>INDEX(Tramos!$N$5:$N$112,MATCH(A360,Tramos!$A$5:$A$112,0))</f>
        <v/>
      </c>
      <c r="E360" s="13">
        <f>INDEX(Tramos!$P$5:$P$112,MATCH(A360,Tramos!$A$5:$A$112,0))</f>
        <v/>
      </c>
      <c r="F360" s="11">
        <f>INDEX(Tramos!$X$5:$X$112,MATCH(A360,Tramos!$A$5:$A$112,0))</f>
        <v/>
      </c>
      <c r="G360" s="13">
        <f>SUM(F$359:F360)</f>
        <v/>
      </c>
    </row>
    <row r="361">
      <c r="A361" s="4" t="inlineStr">
        <is>
          <t>E2</t>
        </is>
      </c>
      <c r="B361" s="4">
        <f>INDEX(Tramos!$B$5:$B$112,MATCH(A361,Tramos!$A$5:$A$112,0))</f>
        <v/>
      </c>
      <c r="C361" s="11">
        <f>INDEX(Tramos!$K$5:$K$112,MATCH(A361,Tramos!$A$5:$A$112,0))</f>
        <v/>
      </c>
      <c r="D361" s="4">
        <f>INDEX(Tramos!$N$5:$N$112,MATCH(A361,Tramos!$A$5:$A$112,0))</f>
        <v/>
      </c>
      <c r="E361" s="13">
        <f>INDEX(Tramos!$P$5:$P$112,MATCH(A361,Tramos!$A$5:$A$112,0))</f>
        <v/>
      </c>
      <c r="F361" s="11">
        <f>INDEX(Tramos!$X$5:$X$112,MATCH(A361,Tramos!$A$5:$A$112,0))</f>
        <v/>
      </c>
      <c r="G361" s="13">
        <f>SUM(F$359:F361)</f>
        <v/>
      </c>
    </row>
    <row r="362">
      <c r="A362" s="4" t="inlineStr">
        <is>
          <t>E3</t>
        </is>
      </c>
      <c r="B362" s="4">
        <f>INDEX(Tramos!$B$5:$B$112,MATCH(A362,Tramos!$A$5:$A$112,0))</f>
        <v/>
      </c>
      <c r="C362" s="11">
        <f>INDEX(Tramos!$K$5:$K$112,MATCH(A362,Tramos!$A$5:$A$112,0))</f>
        <v/>
      </c>
      <c r="D362" s="4">
        <f>INDEX(Tramos!$N$5:$N$112,MATCH(A362,Tramos!$A$5:$A$112,0))</f>
        <v/>
      </c>
      <c r="E362" s="13">
        <f>INDEX(Tramos!$P$5:$P$112,MATCH(A362,Tramos!$A$5:$A$112,0))</f>
        <v/>
      </c>
      <c r="F362" s="11">
        <f>INDEX(Tramos!$X$5:$X$112,MATCH(A362,Tramos!$A$5:$A$112,0))</f>
        <v/>
      </c>
      <c r="G362" s="13">
        <f>SUM(F$359:F362)</f>
        <v/>
      </c>
    </row>
    <row r="363">
      <c r="A363" s="4" t="inlineStr">
        <is>
          <t>G2</t>
        </is>
      </c>
      <c r="B363" s="4">
        <f>INDEX(Tramos!$B$5:$B$112,MATCH(A363,Tramos!$A$5:$A$112,0))</f>
        <v/>
      </c>
      <c r="C363" s="11">
        <f>INDEX(Tramos!$K$5:$K$112,MATCH(A363,Tramos!$A$5:$A$112,0))</f>
        <v/>
      </c>
      <c r="D363" s="4">
        <f>INDEX(Tramos!$N$5:$N$112,MATCH(A363,Tramos!$A$5:$A$112,0))</f>
        <v/>
      </c>
      <c r="E363" s="13">
        <f>INDEX(Tramos!$P$5:$P$112,MATCH(A363,Tramos!$A$5:$A$112,0))</f>
        <v/>
      </c>
      <c r="F363" s="11">
        <f>INDEX(Tramos!$X$5:$X$112,MATCH(A363,Tramos!$A$5:$A$112,0))</f>
        <v/>
      </c>
      <c r="G363" s="13">
        <f>SUM(F$359:F363)</f>
        <v/>
      </c>
    </row>
    <row r="364">
      <c r="A364" s="4" t="inlineStr">
        <is>
          <t>E4</t>
        </is>
      </c>
      <c r="B364" s="4">
        <f>INDEX(Tramos!$B$5:$B$112,MATCH(A364,Tramos!$A$5:$A$112,0))</f>
        <v/>
      </c>
      <c r="C364" s="11">
        <f>INDEX(Tramos!$K$5:$K$112,MATCH(A364,Tramos!$A$5:$A$112,0))</f>
        <v/>
      </c>
      <c r="D364" s="4">
        <f>INDEX(Tramos!$N$5:$N$112,MATCH(A364,Tramos!$A$5:$A$112,0))</f>
        <v/>
      </c>
      <c r="E364" s="13">
        <f>INDEX(Tramos!$P$5:$P$112,MATCH(A364,Tramos!$A$5:$A$112,0))</f>
        <v/>
      </c>
      <c r="F364" s="11">
        <f>INDEX(Tramos!$X$5:$X$112,MATCH(A364,Tramos!$A$5:$A$112,0))</f>
        <v/>
      </c>
      <c r="G364" s="13">
        <f>SUM(F$359:F364)</f>
        <v/>
      </c>
    </row>
    <row r="365">
      <c r="A365" s="4" t="inlineStr">
        <is>
          <t>D0</t>
        </is>
      </c>
      <c r="B365" s="4">
        <f>INDEX(Tramos!$B$5:$B$112,MATCH(A365,Tramos!$A$5:$A$112,0))</f>
        <v/>
      </c>
      <c r="C365" s="11">
        <f>INDEX(Tramos!$K$5:$K$112,MATCH(A365,Tramos!$A$5:$A$112,0))</f>
        <v/>
      </c>
      <c r="D365" s="4">
        <f>INDEX(Tramos!$N$5:$N$112,MATCH(A365,Tramos!$A$5:$A$112,0))</f>
        <v/>
      </c>
      <c r="E365" s="13">
        <f>INDEX(Tramos!$P$5:$P$112,MATCH(A365,Tramos!$A$5:$A$112,0))</f>
        <v/>
      </c>
      <c r="F365" s="11">
        <f>INDEX(Tramos!$X$5:$X$112,MATCH(A365,Tramos!$A$5:$A$112,0))</f>
        <v/>
      </c>
      <c r="G365" s="13">
        <f>SUM(F$359:F365)</f>
        <v/>
      </c>
    </row>
    <row r="366">
      <c r="A366" s="4" t="inlineStr">
        <is>
          <t>PBE1</t>
        </is>
      </c>
      <c r="B366" s="4">
        <f>INDEX(Tramos!$B$5:$B$112,MATCH(A366,Tramos!$A$5:$A$112,0))</f>
        <v/>
      </c>
      <c r="C366" s="11">
        <f>INDEX(Tramos!$K$5:$K$112,MATCH(A366,Tramos!$A$5:$A$112,0))</f>
        <v/>
      </c>
      <c r="D366" s="4">
        <f>INDEX(Tramos!$N$5:$N$112,MATCH(A366,Tramos!$A$5:$A$112,0))</f>
        <v/>
      </c>
      <c r="E366" s="13">
        <f>INDEX(Tramos!$P$5:$P$112,MATCH(A366,Tramos!$A$5:$A$112,0))</f>
        <v/>
      </c>
      <c r="F366" s="11">
        <f>INDEX(Tramos!$X$5:$X$112,MATCH(A366,Tramos!$A$5:$A$112,0))</f>
        <v/>
      </c>
      <c r="G366" s="13">
        <f>SUM(F$359:F366)</f>
        <v/>
      </c>
    </row>
    <row r="367">
      <c r="A367" s="4" t="inlineStr">
        <is>
          <t>PBE2</t>
        </is>
      </c>
      <c r="B367" s="4">
        <f>INDEX(Tramos!$B$5:$B$112,MATCH(A367,Tramos!$A$5:$A$112,0))</f>
        <v/>
      </c>
      <c r="C367" s="11">
        <f>INDEX(Tramos!$K$5:$K$112,MATCH(A367,Tramos!$A$5:$A$112,0))</f>
        <v/>
      </c>
      <c r="D367" s="4">
        <f>INDEX(Tramos!$N$5:$N$112,MATCH(A367,Tramos!$A$5:$A$112,0))</f>
        <v/>
      </c>
      <c r="E367" s="13">
        <f>INDEX(Tramos!$P$5:$P$112,MATCH(A367,Tramos!$A$5:$A$112,0))</f>
        <v/>
      </c>
      <c r="F367" s="11">
        <f>INDEX(Tramos!$X$5:$X$112,MATCH(A367,Tramos!$A$5:$A$112,0))</f>
        <v/>
      </c>
      <c r="G367" s="13">
        <f>SUM(F$359:F367)</f>
        <v/>
      </c>
    </row>
    <row r="368">
      <c r="A368" s="4" t="inlineStr">
        <is>
          <t>PBE3</t>
        </is>
      </c>
      <c r="B368" s="4">
        <f>INDEX(Tramos!$B$5:$B$112,MATCH(A368,Tramos!$A$5:$A$112,0))</f>
        <v/>
      </c>
      <c r="C368" s="11">
        <f>INDEX(Tramos!$K$5:$K$112,MATCH(A368,Tramos!$A$5:$A$112,0))</f>
        <v/>
      </c>
      <c r="D368" s="4">
        <f>INDEX(Tramos!$N$5:$N$112,MATCH(A368,Tramos!$A$5:$A$112,0))</f>
        <v/>
      </c>
      <c r="E368" s="13">
        <f>INDEX(Tramos!$P$5:$P$112,MATCH(A368,Tramos!$A$5:$A$112,0))</f>
        <v/>
      </c>
      <c r="F368" s="11">
        <f>INDEX(Tramos!$X$5:$X$112,MATCH(A368,Tramos!$A$5:$A$112,0))</f>
        <v/>
      </c>
      <c r="G368" s="13">
        <f>SUM(F$359:F368)</f>
        <v/>
      </c>
    </row>
    <row r="369">
      <c r="A369" s="4" t="inlineStr">
        <is>
          <t>PBE4</t>
        </is>
      </c>
      <c r="B369" s="4">
        <f>INDEX(Tramos!$B$5:$B$112,MATCH(A369,Tramos!$A$5:$A$112,0))</f>
        <v/>
      </c>
      <c r="C369" s="11">
        <f>INDEX(Tramos!$K$5:$K$112,MATCH(A369,Tramos!$A$5:$A$112,0))</f>
        <v/>
      </c>
      <c r="D369" s="4">
        <f>INDEX(Tramos!$N$5:$N$112,MATCH(A369,Tramos!$A$5:$A$112,0))</f>
        <v/>
      </c>
      <c r="E369" s="13">
        <f>INDEX(Tramos!$P$5:$P$112,MATCH(A369,Tramos!$A$5:$A$112,0))</f>
        <v/>
      </c>
      <c r="F369" s="11">
        <f>INDEX(Tramos!$X$5:$X$112,MATCH(A369,Tramos!$A$5:$A$112,0))</f>
        <v/>
      </c>
      <c r="G369" s="13">
        <f>SUM(F$359:F369)</f>
        <v/>
      </c>
    </row>
    <row r="370">
      <c r="A370" s="4" t="inlineStr">
        <is>
          <t>PBE5</t>
        </is>
      </c>
      <c r="B370" s="4">
        <f>INDEX(Tramos!$B$5:$B$112,MATCH(A370,Tramos!$A$5:$A$112,0))</f>
        <v/>
      </c>
      <c r="C370" s="11">
        <f>INDEX(Tramos!$K$5:$K$112,MATCH(A370,Tramos!$A$5:$A$112,0))</f>
        <v/>
      </c>
      <c r="D370" s="4">
        <f>INDEX(Tramos!$N$5:$N$112,MATCH(A370,Tramos!$A$5:$A$112,0))</f>
        <v/>
      </c>
      <c r="E370" s="13">
        <f>INDEX(Tramos!$P$5:$P$112,MATCH(A370,Tramos!$A$5:$A$112,0))</f>
        <v/>
      </c>
      <c r="F370" s="11">
        <f>INDEX(Tramos!$X$5:$X$112,MATCH(A370,Tramos!$A$5:$A$112,0))</f>
        <v/>
      </c>
      <c r="G370" s="13">
        <f>SUM(F$359:F370)</f>
        <v/>
      </c>
    </row>
    <row r="371">
      <c r="A371" s="4" t="inlineStr">
        <is>
          <t>PBE6</t>
        </is>
      </c>
      <c r="B371" s="4">
        <f>INDEX(Tramos!$B$5:$B$112,MATCH(A371,Tramos!$A$5:$A$112,0))</f>
        <v/>
      </c>
      <c r="C371" s="11">
        <f>INDEX(Tramos!$K$5:$K$112,MATCH(A371,Tramos!$A$5:$A$112,0))</f>
        <v/>
      </c>
      <c r="D371" s="4">
        <f>INDEX(Tramos!$N$5:$N$112,MATCH(A371,Tramos!$A$5:$A$112,0))</f>
        <v/>
      </c>
      <c r="E371" s="13">
        <f>INDEX(Tramos!$P$5:$P$112,MATCH(A371,Tramos!$A$5:$A$112,0))</f>
        <v/>
      </c>
      <c r="F371" s="11">
        <f>INDEX(Tramos!$X$5:$X$112,MATCH(A371,Tramos!$A$5:$A$112,0))</f>
        <v/>
      </c>
      <c r="G371" s="13">
        <f>SUM(F$359:F371)</f>
        <v/>
      </c>
    </row>
    <row r="372">
      <c r="A372" s="4" t="inlineStr">
        <is>
          <t>H1</t>
        </is>
      </c>
      <c r="B372" s="4">
        <f>INDEX(Tramos!$B$5:$B$112,MATCH(A372,Tramos!$A$5:$A$112,0))</f>
        <v/>
      </c>
      <c r="C372" s="11">
        <f>INDEX(Tramos!$K$5:$K$112,MATCH(A372,Tramos!$A$5:$A$112,0))</f>
        <v/>
      </c>
      <c r="D372" s="4">
        <f>INDEX(Tramos!$N$5:$N$112,MATCH(A372,Tramos!$A$5:$A$112,0))</f>
        <v/>
      </c>
      <c r="E372" s="13">
        <f>INDEX(Tramos!$P$5:$P$112,MATCH(A372,Tramos!$A$5:$A$112,0))</f>
        <v/>
      </c>
      <c r="F372" s="11">
        <f>INDEX(Tramos!$X$5:$X$112,MATCH(A372,Tramos!$A$5:$A$112,0))</f>
        <v/>
      </c>
      <c r="G372" s="13">
        <f>SUM(F$359:F372)</f>
        <v/>
      </c>
    </row>
    <row r="373">
      <c r="A373" s="4" t="inlineStr">
        <is>
          <t>H2</t>
        </is>
      </c>
      <c r="B373" s="4">
        <f>INDEX(Tramos!$B$5:$B$112,MATCH(A373,Tramos!$A$5:$A$112,0))</f>
        <v/>
      </c>
      <c r="C373" s="11">
        <f>INDEX(Tramos!$K$5:$K$112,MATCH(A373,Tramos!$A$5:$A$112,0))</f>
        <v/>
      </c>
      <c r="D373" s="4">
        <f>INDEX(Tramos!$N$5:$N$112,MATCH(A373,Tramos!$A$5:$A$112,0))</f>
        <v/>
      </c>
      <c r="E373" s="13">
        <f>INDEX(Tramos!$P$5:$P$112,MATCH(A373,Tramos!$A$5:$A$112,0))</f>
        <v/>
      </c>
      <c r="F373" s="11">
        <f>INDEX(Tramos!$X$5:$X$112,MATCH(A373,Tramos!$A$5:$A$112,0))</f>
        <v/>
      </c>
      <c r="G373" s="13">
        <f>SUM(F$359:F373)</f>
        <v/>
      </c>
    </row>
    <row r="374">
      <c r="A374" s="4" t="inlineStr">
        <is>
          <t>H3</t>
        </is>
      </c>
      <c r="B374" s="4">
        <f>INDEX(Tramos!$B$5:$B$112,MATCH(A374,Tramos!$A$5:$A$112,0))</f>
        <v/>
      </c>
      <c r="C374" s="11">
        <f>INDEX(Tramos!$K$5:$K$112,MATCH(A374,Tramos!$A$5:$A$112,0))</f>
        <v/>
      </c>
      <c r="D374" s="4">
        <f>INDEX(Tramos!$N$5:$N$112,MATCH(A374,Tramos!$A$5:$A$112,0))</f>
        <v/>
      </c>
      <c r="E374" s="13">
        <f>INDEX(Tramos!$P$5:$P$112,MATCH(A374,Tramos!$A$5:$A$112,0))</f>
        <v/>
      </c>
      <c r="F374" s="11">
        <f>INDEX(Tramos!$X$5:$X$112,MATCH(A374,Tramos!$A$5:$A$112,0))</f>
        <v/>
      </c>
      <c r="G374" s="13">
        <f>SUM(F$359:F374)</f>
        <v/>
      </c>
    </row>
    <row r="375">
      <c r="A375" s="4" t="inlineStr">
        <is>
          <t>H4</t>
        </is>
      </c>
      <c r="B375" s="4">
        <f>INDEX(Tramos!$B$5:$B$112,MATCH(A375,Tramos!$A$5:$A$112,0))</f>
        <v/>
      </c>
      <c r="C375" s="11">
        <f>INDEX(Tramos!$K$5:$K$112,MATCH(A375,Tramos!$A$5:$A$112,0))</f>
        <v/>
      </c>
      <c r="D375" s="4">
        <f>INDEX(Tramos!$N$5:$N$112,MATCH(A375,Tramos!$A$5:$A$112,0))</f>
        <v/>
      </c>
      <c r="E375" s="13">
        <f>INDEX(Tramos!$P$5:$P$112,MATCH(A375,Tramos!$A$5:$A$112,0))</f>
        <v/>
      </c>
      <c r="F375" s="11">
        <f>INDEX(Tramos!$X$5:$X$112,MATCH(A375,Tramos!$A$5:$A$112,0))</f>
        <v/>
      </c>
      <c r="G375" s="13">
        <f>SUM(F$359:F375)</f>
        <v/>
      </c>
    </row>
    <row r="378">
      <c r="A378" s="3" t="inlineStr">
        <is>
          <t>R18 ACS baja PB · hab. 002 · lavabo</t>
        </is>
      </c>
      <c r="B378" s="3" t="inlineStr">
        <is>
          <t>Descripción</t>
        </is>
      </c>
      <c r="C378" s="3" t="inlineStr">
        <is>
          <t>Qc (l/s)</t>
        </is>
      </c>
      <c r="D378" s="3" t="inlineStr">
        <is>
          <t>Designación</t>
        </is>
      </c>
      <c r="E378" s="3" t="inlineStr">
        <is>
          <t>v (m/s)</t>
        </is>
      </c>
      <c r="F378" s="3" t="inlineStr">
        <is>
          <t>hf+hm (mca)</t>
        </is>
      </c>
      <c r="G378" s="3" t="inlineStr">
        <is>
          <t>Σ acumulada (mca)</t>
        </is>
      </c>
    </row>
    <row r="379">
      <c r="A379" s="4" t="inlineStr">
        <is>
          <t>CB0</t>
        </is>
      </c>
      <c r="B379" s="4">
        <f>INDEX(Tramos!$B$5:$B$112,MATCH(A379,Tramos!$A$5:$A$112,0))</f>
        <v/>
      </c>
      <c r="C379" s="11">
        <f>INDEX(Tramos!$K$5:$K$112,MATCH(A379,Tramos!$A$5:$A$112,0))</f>
        <v/>
      </c>
      <c r="D379" s="4">
        <f>INDEX(Tramos!$N$5:$N$112,MATCH(A379,Tramos!$A$5:$A$112,0))</f>
        <v/>
      </c>
      <c r="E379" s="13">
        <f>INDEX(Tramos!$P$5:$P$112,MATCH(A379,Tramos!$A$5:$A$112,0))</f>
        <v/>
      </c>
      <c r="F379" s="11">
        <f>INDEX(Tramos!$X$5:$X$112,MATCH(A379,Tramos!$A$5:$A$112,0))</f>
        <v/>
      </c>
      <c r="G379" s="13">
        <f>SUM(F$379:F379)</f>
        <v/>
      </c>
    </row>
    <row r="380">
      <c r="A380" s="4" t="inlineStr">
        <is>
          <t>PBE1C</t>
        </is>
      </c>
      <c r="B380" s="4">
        <f>INDEX(Tramos!$B$5:$B$112,MATCH(A380,Tramos!$A$5:$A$112,0))</f>
        <v/>
      </c>
      <c r="C380" s="11">
        <f>INDEX(Tramos!$K$5:$K$112,MATCH(A380,Tramos!$A$5:$A$112,0))</f>
        <v/>
      </c>
      <c r="D380" s="4">
        <f>INDEX(Tramos!$N$5:$N$112,MATCH(A380,Tramos!$A$5:$A$112,0))</f>
        <v/>
      </c>
      <c r="E380" s="13">
        <f>INDEX(Tramos!$P$5:$P$112,MATCH(A380,Tramos!$A$5:$A$112,0))</f>
        <v/>
      </c>
      <c r="F380" s="11">
        <f>INDEX(Tramos!$X$5:$X$112,MATCH(A380,Tramos!$A$5:$A$112,0))</f>
        <v/>
      </c>
      <c r="G380" s="13">
        <f>SUM(F$379:F380)</f>
        <v/>
      </c>
    </row>
    <row r="381">
      <c r="A381" s="4" t="inlineStr">
        <is>
          <t>PBE2C</t>
        </is>
      </c>
      <c r="B381" s="4">
        <f>INDEX(Tramos!$B$5:$B$112,MATCH(A381,Tramos!$A$5:$A$112,0))</f>
        <v/>
      </c>
      <c r="C381" s="11">
        <f>INDEX(Tramos!$K$5:$K$112,MATCH(A381,Tramos!$A$5:$A$112,0))</f>
        <v/>
      </c>
      <c r="D381" s="4">
        <f>INDEX(Tramos!$N$5:$N$112,MATCH(A381,Tramos!$A$5:$A$112,0))</f>
        <v/>
      </c>
      <c r="E381" s="13">
        <f>INDEX(Tramos!$P$5:$P$112,MATCH(A381,Tramos!$A$5:$A$112,0))</f>
        <v/>
      </c>
      <c r="F381" s="11">
        <f>INDEX(Tramos!$X$5:$X$112,MATCH(A381,Tramos!$A$5:$A$112,0))</f>
        <v/>
      </c>
      <c r="G381" s="13">
        <f>SUM(F$379:F381)</f>
        <v/>
      </c>
    </row>
    <row r="382">
      <c r="A382" s="4" t="inlineStr">
        <is>
          <t>PBE3C</t>
        </is>
      </c>
      <c r="B382" s="4">
        <f>INDEX(Tramos!$B$5:$B$112,MATCH(A382,Tramos!$A$5:$A$112,0))</f>
        <v/>
      </c>
      <c r="C382" s="11">
        <f>INDEX(Tramos!$K$5:$K$112,MATCH(A382,Tramos!$A$5:$A$112,0))</f>
        <v/>
      </c>
      <c r="D382" s="4">
        <f>INDEX(Tramos!$N$5:$N$112,MATCH(A382,Tramos!$A$5:$A$112,0))</f>
        <v/>
      </c>
      <c r="E382" s="13">
        <f>INDEX(Tramos!$P$5:$P$112,MATCH(A382,Tramos!$A$5:$A$112,0))</f>
        <v/>
      </c>
      <c r="F382" s="11">
        <f>INDEX(Tramos!$X$5:$X$112,MATCH(A382,Tramos!$A$5:$A$112,0))</f>
        <v/>
      </c>
      <c r="G382" s="13">
        <f>SUM(F$379:F382)</f>
        <v/>
      </c>
    </row>
    <row r="383">
      <c r="A383" s="4" t="inlineStr">
        <is>
          <t>PBE4C</t>
        </is>
      </c>
      <c r="B383" s="4">
        <f>INDEX(Tramos!$B$5:$B$112,MATCH(A383,Tramos!$A$5:$A$112,0))</f>
        <v/>
      </c>
      <c r="C383" s="11">
        <f>INDEX(Tramos!$K$5:$K$112,MATCH(A383,Tramos!$A$5:$A$112,0))</f>
        <v/>
      </c>
      <c r="D383" s="4">
        <f>INDEX(Tramos!$N$5:$N$112,MATCH(A383,Tramos!$A$5:$A$112,0))</f>
        <v/>
      </c>
      <c r="E383" s="13">
        <f>INDEX(Tramos!$P$5:$P$112,MATCH(A383,Tramos!$A$5:$A$112,0))</f>
        <v/>
      </c>
      <c r="F383" s="11">
        <f>INDEX(Tramos!$X$5:$X$112,MATCH(A383,Tramos!$A$5:$A$112,0))</f>
        <v/>
      </c>
      <c r="G383" s="13">
        <f>SUM(F$379:F383)</f>
        <v/>
      </c>
    </row>
    <row r="384">
      <c r="A384" s="4" t="inlineStr">
        <is>
          <t>PBE5C</t>
        </is>
      </c>
      <c r="B384" s="4">
        <f>INDEX(Tramos!$B$5:$B$112,MATCH(A384,Tramos!$A$5:$A$112,0))</f>
        <v/>
      </c>
      <c r="C384" s="11">
        <f>INDEX(Tramos!$K$5:$K$112,MATCH(A384,Tramos!$A$5:$A$112,0))</f>
        <v/>
      </c>
      <c r="D384" s="4">
        <f>INDEX(Tramos!$N$5:$N$112,MATCH(A384,Tramos!$A$5:$A$112,0))</f>
        <v/>
      </c>
      <c r="E384" s="13">
        <f>INDEX(Tramos!$P$5:$P$112,MATCH(A384,Tramos!$A$5:$A$112,0))</f>
        <v/>
      </c>
      <c r="F384" s="11">
        <f>INDEX(Tramos!$X$5:$X$112,MATCH(A384,Tramos!$A$5:$A$112,0))</f>
        <v/>
      </c>
      <c r="G384" s="13">
        <f>SUM(F$379:F384)</f>
        <v/>
      </c>
    </row>
    <row r="385">
      <c r="A385" s="4" t="inlineStr">
        <is>
          <t>PBE6C</t>
        </is>
      </c>
      <c r="B385" s="4">
        <f>INDEX(Tramos!$B$5:$B$112,MATCH(A385,Tramos!$A$5:$A$112,0))</f>
        <v/>
      </c>
      <c r="C385" s="11">
        <f>INDEX(Tramos!$K$5:$K$112,MATCH(A385,Tramos!$A$5:$A$112,0))</f>
        <v/>
      </c>
      <c r="D385" s="4">
        <f>INDEX(Tramos!$N$5:$N$112,MATCH(A385,Tramos!$A$5:$A$112,0))</f>
        <v/>
      </c>
      <c r="E385" s="13">
        <f>INDEX(Tramos!$P$5:$P$112,MATCH(A385,Tramos!$A$5:$A$112,0))</f>
        <v/>
      </c>
      <c r="F385" s="11">
        <f>INDEX(Tramos!$X$5:$X$112,MATCH(A385,Tramos!$A$5:$A$112,0))</f>
        <v/>
      </c>
      <c r="G385" s="13">
        <f>SUM(F$379:F385)</f>
        <v/>
      </c>
    </row>
    <row r="386">
      <c r="A386" s="4" t="inlineStr">
        <is>
          <t>HC1</t>
        </is>
      </c>
      <c r="B386" s="4">
        <f>INDEX(Tramos!$B$5:$B$112,MATCH(A386,Tramos!$A$5:$A$112,0))</f>
        <v/>
      </c>
      <c r="C386" s="11">
        <f>INDEX(Tramos!$K$5:$K$112,MATCH(A386,Tramos!$A$5:$A$112,0))</f>
        <v/>
      </c>
      <c r="D386" s="4">
        <f>INDEX(Tramos!$N$5:$N$112,MATCH(A386,Tramos!$A$5:$A$112,0))</f>
        <v/>
      </c>
      <c r="E386" s="13">
        <f>INDEX(Tramos!$P$5:$P$112,MATCH(A386,Tramos!$A$5:$A$112,0))</f>
        <v/>
      </c>
      <c r="F386" s="11">
        <f>INDEX(Tramos!$X$5:$X$112,MATCH(A386,Tramos!$A$5:$A$112,0))</f>
        <v/>
      </c>
      <c r="G386" s="13">
        <f>SUM(F$379:F386)</f>
        <v/>
      </c>
    </row>
    <row r="387">
      <c r="A387" s="4" t="inlineStr">
        <is>
          <t>HC2</t>
        </is>
      </c>
      <c r="B387" s="4">
        <f>INDEX(Tramos!$B$5:$B$112,MATCH(A387,Tramos!$A$5:$A$112,0))</f>
        <v/>
      </c>
      <c r="C387" s="11">
        <f>INDEX(Tramos!$K$5:$K$112,MATCH(A387,Tramos!$A$5:$A$112,0))</f>
        <v/>
      </c>
      <c r="D387" s="4">
        <f>INDEX(Tramos!$N$5:$N$112,MATCH(A387,Tramos!$A$5:$A$112,0))</f>
        <v/>
      </c>
      <c r="E387" s="13">
        <f>INDEX(Tramos!$P$5:$P$112,MATCH(A387,Tramos!$A$5:$A$112,0))</f>
        <v/>
      </c>
      <c r="F387" s="11">
        <f>INDEX(Tramos!$X$5:$X$112,MATCH(A387,Tramos!$A$5:$A$112,0))</f>
        <v/>
      </c>
      <c r="G387" s="13">
        <f>SUM(F$379:F387)</f>
        <v/>
      </c>
    </row>
    <row r="388">
      <c r="A388" s="4" t="inlineStr">
        <is>
          <t>HC3</t>
        </is>
      </c>
      <c r="B388" s="4">
        <f>INDEX(Tramos!$B$5:$B$112,MATCH(A388,Tramos!$A$5:$A$112,0))</f>
        <v/>
      </c>
      <c r="C388" s="11">
        <f>INDEX(Tramos!$K$5:$K$112,MATCH(A388,Tramos!$A$5:$A$112,0))</f>
        <v/>
      </c>
      <c r="D388" s="4">
        <f>INDEX(Tramos!$N$5:$N$112,MATCH(A388,Tramos!$A$5:$A$112,0))</f>
        <v/>
      </c>
      <c r="E388" s="13">
        <f>INDEX(Tramos!$P$5:$P$112,MATCH(A388,Tramos!$A$5:$A$112,0))</f>
        <v/>
      </c>
      <c r="F388" s="11">
        <f>INDEX(Tramos!$X$5:$X$112,MATCH(A388,Tramos!$A$5:$A$112,0))</f>
        <v/>
      </c>
      <c r="G388" s="13">
        <f>SUM(F$379:F388)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8" customWidth="1" min="3" max="3"/>
    <col width="70" customWidth="1" min="4" max="4"/>
  </cols>
  <sheetData>
    <row r="1">
      <c r="A1" s="10" t="inlineStr">
        <is>
          <t>Grupo de presión (BVV) aspirando de aljibe · Válvula reductora ACS baja · Aljibe</t>
        </is>
      </c>
    </row>
    <row r="3">
      <c r="A3" s="3" t="inlineStr">
        <is>
          <t>Concepto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Cálculo / nota</t>
        </is>
      </c>
    </row>
    <row r="4">
      <c r="A4" s="4" t="inlineStr">
        <is>
          <t>Presión mínima necesaria en calderín (máx. recorridos BOMB)</t>
        </is>
      </c>
      <c r="B4" s="13">
        <f>MAX(Recorridos!$F$9,Recorridos!$F$10,Recorridos!$F$11,Recorridos!$F$12,Recorridos!$F$13,Recorridos!$F$14,Recorridos!$F$15,Recorridos!$F$16)</f>
        <v/>
      </c>
      <c r="C4" s="4" t="inlineStr">
        <is>
          <t>mca</t>
        </is>
      </c>
      <c r="D4" s="6" t="inlineStr">
        <is>
          <t>Máximo de los recorridos R5-R12</t>
        </is>
      </c>
    </row>
    <row r="5">
      <c r="A5" s="4" t="inlineStr">
        <is>
          <t>Presión a mantener (consigna BVV), redondeada</t>
        </is>
      </c>
      <c r="B5" s="13">
        <f>CEILING(B4,1)</f>
        <v/>
      </c>
      <c r="C5" s="4" t="inlineStr">
        <is>
          <t>mca</t>
        </is>
      </c>
      <c r="D5" s="6" t="inlineStr">
        <is>
          <t>Redondeo al mca superior</t>
        </is>
      </c>
    </row>
    <row r="6">
      <c r="A6" s="4" t="inlineStr">
        <is>
          <t>Caudal de bombeo Qb (tramo BV0)</t>
        </is>
      </c>
      <c r="B6" s="13">
        <f>INDEX(Tramos!$K$5:$K$112,MATCH("BV0",Tramos!$A$5:$A$112,0))</f>
        <v/>
      </c>
      <c r="C6" s="4" t="inlineStr">
        <is>
          <t>l/s</t>
        </is>
      </c>
      <c r="D6" s="6" t="inlineStr">
        <is>
          <t>AF plantas 6-11 + alimentación ACS de todo el edificio, simultaneidad UNE</t>
        </is>
      </c>
    </row>
    <row r="7">
      <c r="A7" s="4" t="inlineStr">
        <is>
          <t>Caudal de bombeo Qb</t>
        </is>
      </c>
      <c r="B7" s="13">
        <f>B6*3.6</f>
        <v/>
      </c>
      <c r="C7" s="4" t="inlineStr">
        <is>
          <t>m³/h</t>
        </is>
      </c>
      <c r="D7" s="6" t="inlineStr"/>
    </row>
    <row r="8">
      <c r="A8" s="4" t="inlineStr">
        <is>
          <t>Nº de bombas en servicio</t>
        </is>
      </c>
      <c r="B8" s="13">
        <f>IF(B6&lt;3,1,IF(B6&lt;10,2,IF(B6&lt;30,3,4)))</f>
        <v/>
      </c>
      <c r="C8" s="4" t="inlineStr"/>
      <c r="D8" s="6" t="inlineStr">
        <is>
          <t>CTE / apuntes: &lt;3 l/s:1 · 3-10:2 · 10-30:3 · &gt;30:4 (+1 reserva)</t>
        </is>
      </c>
    </row>
    <row r="9">
      <c r="A9" s="4" t="inlineStr">
        <is>
          <t>Nº total de bombas (incl. reserva)</t>
        </is>
      </c>
      <c r="B9" s="13">
        <f>B8+1</f>
        <v/>
      </c>
      <c r="C9" s="4" t="inlineStr"/>
      <c r="D9" s="6" t="inlineStr"/>
    </row>
    <row r="10">
      <c r="A10" s="4" t="inlineStr">
        <is>
          <t>Caudal por bomba</t>
        </is>
      </c>
      <c r="B10" s="13">
        <f>B6/B8</f>
        <v/>
      </c>
      <c r="C10" s="4" t="inlineStr">
        <is>
          <t>l/s</t>
        </is>
      </c>
      <c r="D10" s="6" t="inlineStr"/>
    </row>
    <row r="11">
      <c r="A11" s="4" t="inlineStr">
        <is>
          <t>Altura de bombeo H</t>
        </is>
      </c>
      <c r="B11" s="13">
        <f>B5+(Datos!$B$50-Datos!$B$51)+Datos!$B$53</f>
        <v/>
      </c>
      <c r="C11" s="4" t="inlineStr">
        <is>
          <t>mca</t>
        </is>
      </c>
      <c r="D11" s="6" t="inlineStr">
        <is>
          <t>H = P consigna + (z calderín − z lámina mín.) + pérdidas en grupo</t>
        </is>
      </c>
    </row>
    <row r="12">
      <c r="A12" s="4" t="inlineStr">
        <is>
          <t>Potencia hidráulica por bomba</t>
        </is>
      </c>
      <c r="B12" s="13">
        <f>1000*Datos!$B$45*B10/1000*B11/1000</f>
        <v/>
      </c>
      <c r="C12" s="4" t="inlineStr">
        <is>
          <t>kW</t>
        </is>
      </c>
      <c r="D12" s="6" t="inlineStr">
        <is>
          <t>ρ·g·Q·H</t>
        </is>
      </c>
    </row>
    <row r="13">
      <c r="A13" s="4" t="inlineStr">
        <is>
          <t>Potencia en el eje por bomba</t>
        </is>
      </c>
      <c r="B13" s="13">
        <f>B12/Datos!$B$54</f>
        <v/>
      </c>
      <c r="C13" s="4" t="inlineStr">
        <is>
          <t>kW</t>
        </is>
      </c>
      <c r="D13" s="6" t="inlineStr">
        <is>
          <t>η bomba</t>
        </is>
      </c>
    </row>
    <row r="14">
      <c r="A14" s="4" t="inlineStr">
        <is>
          <t>Potencia eléctrica por bomba (motor + variador)</t>
        </is>
      </c>
      <c r="B14" s="13">
        <f>B13/(Datos!$B$55*Datos!$B$56)</f>
        <v/>
      </c>
      <c r="C14" s="4" t="inlineStr">
        <is>
          <t>kW</t>
        </is>
      </c>
      <c r="D14" s="6" t="inlineStr">
        <is>
          <t>η motor · η variador</t>
        </is>
      </c>
    </row>
    <row r="15">
      <c r="A15" s="4" t="inlineStr">
        <is>
          <t>Volumen calderín (BVV)</t>
        </is>
      </c>
      <c r="B15" s="13">
        <f>Datos!$B$57</f>
        <v/>
      </c>
      <c r="C15" s="4" t="inlineStr">
        <is>
          <t>l</t>
        </is>
      </c>
      <c r="D15" s="6" t="inlineStr">
        <is>
          <t>Enunciado cond. 29</t>
        </is>
      </c>
    </row>
    <row r="16">
      <c r="A16" s="4" t="inlineStr">
        <is>
          <t>Presión estática máx. AF/ACS bombeo, grifo planta 8</t>
        </is>
      </c>
      <c r="B16" s="13">
        <f>B5+Datos!$B$50-INDEX(Plantas!$P$4:$P$16,MATCH(8,Plantas!$B$4:$B$16,0))</f>
        <v/>
      </c>
      <c r="C16" s="4" t="inlineStr">
        <is>
          <t>mca</t>
        </is>
      </c>
      <c r="D16" s="6" t="inlineStr">
        <is>
          <t>Q=0: consigna + z cald − z grifo planta más baja con bombeo. Debe ser &lt; 50</t>
        </is>
      </c>
    </row>
    <row r="17">
      <c r="A17" s="4" t="inlineStr">
        <is>
          <t>Comprobación presión máxima AF/ACS alta</t>
        </is>
      </c>
      <c r="B17" s="13">
        <f>IF(B16&lt;Datos!$B$19,"CUMPLE (&lt;50 mca)","NO CUMPLE: reductoras")</f>
        <v/>
      </c>
      <c r="C17" s="4" t="inlineStr"/>
      <c r="D17" s="6" t="inlineStr"/>
    </row>
    <row r="18">
      <c r="A18" s="4" t="inlineStr">
        <is>
          <t>Tarado mínimo reductora ACS baja (máx. recorridos VRP)</t>
        </is>
      </c>
      <c r="B18" s="13">
        <f>MAX(Recorridos!$F$17,Recorridos!$F$18,Recorridos!$F$19,Recorridos!$F$20,Recorridos!$F$22)</f>
        <v/>
      </c>
      <c r="C18" s="4" t="inlineStr">
        <is>
          <t>mca</t>
        </is>
      </c>
      <c r="D18" s="6" t="inlineStr">
        <is>
          <t>Máximo de R13-R16, R18</t>
        </is>
      </c>
    </row>
    <row r="19">
      <c r="A19" s="4" t="inlineStr">
        <is>
          <t>Tarado reductora ACS baja adoptado</t>
        </is>
      </c>
      <c r="B19" s="13">
        <f>CEILING(B18,1)</f>
        <v/>
      </c>
      <c r="C19" s="4" t="inlineStr">
        <is>
          <t>mca</t>
        </is>
      </c>
      <c r="D19" s="6" t="inlineStr"/>
    </row>
    <row r="20">
      <c r="A20" s="4" t="inlineStr">
        <is>
          <t>Presión estática máx. ACS baja, grifo PB</t>
        </is>
      </c>
      <c r="B20" s="13">
        <f>B19+Datos!$B$52-INDEX(Plantas!$P$4:$P$16,MATCH(0,Plantas!$B$4:$B$16,0))</f>
        <v/>
      </c>
      <c r="C20" s="4" t="inlineStr">
        <is>
          <t>mca</t>
        </is>
      </c>
      <c r="D20" s="6" t="inlineStr">
        <is>
          <t>Debe ser &lt; 50</t>
        </is>
      </c>
    </row>
    <row r="21">
      <c r="A21" s="4" t="inlineStr">
        <is>
          <t>Comprobación presión máxima ACS baja</t>
        </is>
      </c>
      <c r="B21" s="13">
        <f>IF(B20&lt;Datos!$B$19,"CUMPLE (&lt;50 mca)","NO CUMPLE")</f>
        <v/>
      </c>
      <c r="C21" s="4" t="inlineStr"/>
      <c r="D21" s="6" t="inlineStr"/>
    </row>
    <row r="22">
      <c r="A22" s="4" t="inlineStr">
        <is>
          <t>Presión estática máx. AF directo, grifo PB</t>
        </is>
      </c>
      <c r="B22" s="13">
        <f>Datos!$B$7+Datos!$B$49-INDEX(Plantas!$P$4:$P$16,MATCH(0,Plantas!$B$4:$B$16,0))</f>
        <v/>
      </c>
      <c r="C22" s="4" t="inlineStr">
        <is>
          <t>mca</t>
        </is>
      </c>
      <c r="D22" s="6" t="inlineStr">
        <is>
          <t>Red sin consumo</t>
        </is>
      </c>
    </row>
    <row r="23">
      <c r="A23" s="4" t="inlineStr">
        <is>
          <t>Comprobación presión máxima AF directo</t>
        </is>
      </c>
      <c r="B23" s="13">
        <f>IF(B22&lt;Datos!$B$19,"CUMPLE (&lt;50 mca)","NO CUMPLE")</f>
        <v/>
      </c>
      <c r="C23" s="4" t="inlineStr"/>
      <c r="D23" s="6" t="inlineStr"/>
    </row>
    <row r="24">
      <c r="A24" s="4" t="inlineStr">
        <is>
          <t>ALJIBE · volumen necesario</t>
        </is>
      </c>
      <c r="B24" s="13">
        <f>B6*60*Datos!$B$58</f>
        <v/>
      </c>
      <c r="C24" s="4" t="inlineStr">
        <is>
          <t>l</t>
        </is>
      </c>
      <c r="D24" s="6" t="inlineStr">
        <is>
          <t>V = Qb (l/min) × t</t>
        </is>
      </c>
    </row>
    <row r="25">
      <c r="A25" s="4" t="inlineStr">
        <is>
          <t>ALJIBE · nº de vasos</t>
        </is>
      </c>
      <c r="B25" s="20" t="n">
        <v>2</v>
      </c>
      <c r="C25" s="4" t="inlineStr"/>
      <c r="D25" s="6" t="inlineStr">
        <is>
          <t>Mínimo 2 vasos en paralelo (enunciado)</t>
        </is>
      </c>
    </row>
    <row r="26">
      <c r="A26" s="4" t="inlineStr">
        <is>
          <t>ALJIBE · volumen necesario por vaso</t>
        </is>
      </c>
      <c r="B26" s="13">
        <f>B24/B25</f>
        <v/>
      </c>
      <c r="C26" s="4" t="inlineStr">
        <is>
          <t>l</t>
        </is>
      </c>
      <c r="D26" s="6" t="inlineStr"/>
    </row>
    <row r="27">
      <c r="A27" s="4" t="inlineStr">
        <is>
          <t>ALJIBE · vaso comercial adoptado</t>
        </is>
      </c>
      <c r="B27" s="20" t="n">
        <v>4000</v>
      </c>
      <c r="C27" s="4" t="inlineStr">
        <is>
          <t>l</t>
        </is>
      </c>
      <c r="D27" s="6" t="inlineStr">
        <is>
          <t>Catálogo (Cuestiones AF): 4000 l, Ø2,12 × H1,465 m, 4090 kg lleno</t>
        </is>
      </c>
    </row>
    <row r="28">
      <c r="A28" s="4" t="inlineStr">
        <is>
          <t>ALJIBE · volumen total instalado</t>
        </is>
      </c>
      <c r="B28" s="13">
        <f>B25*B27</f>
        <v/>
      </c>
      <c r="C28" s="4" t="inlineStr">
        <is>
          <t>l</t>
        </is>
      </c>
      <c r="D28" s="6" t="inlineStr"/>
    </row>
    <row r="29">
      <c r="A29" s="4" t="inlineStr">
        <is>
          <t>ALJIBE · comprobación</t>
        </is>
      </c>
      <c r="B29" s="13">
        <f>IF(B28&gt;=B24,"CUMPLE","AUMENTAR VASO")</f>
        <v/>
      </c>
      <c r="C29" s="4" t="inlineStr"/>
      <c r="D29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  <col width="80" customWidth="1" min="4" max="4"/>
  </cols>
  <sheetData>
    <row r="1">
      <c r="A1" s="10" t="inlineStr">
        <is>
          <t>Producción centralizada de ACS con aerotermia · Justificación CTE DB-HE4</t>
        </is>
      </c>
    </row>
    <row r="3">
      <c r="A3" s="3" t="inlineStr">
        <is>
          <t>Concepto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Fuente / nota</t>
        </is>
      </c>
    </row>
    <row r="4">
      <c r="A4" s="4" t="inlineStr">
        <is>
          <t>Nº de habitaciones del hotel</t>
        </is>
      </c>
      <c r="B4" s="13">
        <f>SUMPRODUCT(Plantas!C4:C16+Plantas!D4:D16)</f>
        <v/>
      </c>
      <c r="C4" s="4" t="inlineStr">
        <is>
          <t>ud</t>
        </is>
      </c>
      <c r="D4" s="6" t="inlineStr">
        <is>
          <t>Plantas (estándar + adaptadas)</t>
        </is>
      </c>
    </row>
    <row r="5">
      <c r="A5" s="4" t="inlineStr">
        <is>
          <t>Ocupación por habitación</t>
        </is>
      </c>
      <c r="B5" s="24" t="n">
        <v>2</v>
      </c>
      <c r="C5" s="4" t="inlineStr">
        <is>
          <t>pers/hab</t>
        </is>
      </c>
      <c r="D5" s="6" t="inlineStr">
        <is>
          <t>HIPÓTESIS: habitaciones dobles (2 camas o cama de matrimonio en el DWG)</t>
        </is>
      </c>
    </row>
    <row r="6">
      <c r="A6" s="4" t="inlineStr">
        <is>
          <t>Nº de personas</t>
        </is>
      </c>
      <c r="B6" s="13">
        <f>B4*B5</f>
        <v/>
      </c>
      <c r="C6" s="4" t="inlineStr">
        <is>
          <t>pers</t>
        </is>
      </c>
      <c r="D6" s="6" t="inlineStr"/>
    </row>
    <row r="7">
      <c r="A7" s="4" t="inlineStr">
        <is>
          <t>Demanda unitaria ACS a 60 ºC, hotel ***</t>
        </is>
      </c>
      <c r="B7" s="24" t="n">
        <v>41</v>
      </c>
      <c r="C7" s="4" t="inlineStr">
        <is>
          <t>l/(pers·día)</t>
        </is>
      </c>
      <c r="D7" s="6" t="inlineStr">
        <is>
          <t>CTE DB-HE4 Anejo F (hotel 3*) — COMPROBAR en el CTE vigente</t>
        </is>
      </c>
    </row>
    <row r="8">
      <c r="A8" s="4" t="inlineStr">
        <is>
          <t>Demanda diaria de ACS a 60 ºC, D</t>
        </is>
      </c>
      <c r="B8" s="13">
        <f>B6*B7</f>
        <v/>
      </c>
      <c r="C8" s="4" t="inlineStr">
        <is>
          <t>l/día</t>
        </is>
      </c>
      <c r="D8" s="6" t="inlineStr"/>
    </row>
    <row r="9">
      <c r="A9" s="4" t="inlineStr">
        <is>
          <t>Contribución renovable mínima exigida</t>
        </is>
      </c>
      <c r="B9" s="25">
        <f>IF(B8&gt;=5000,0.7,0.6)</f>
        <v/>
      </c>
      <c r="C9" s="4" t="inlineStr"/>
      <c r="D9" s="6" t="inlineStr">
        <is>
          <t>HE4: 70 % si D ≥ 5.000 l/día; 60 % si &lt; 5.000 (apuntes ACS)</t>
        </is>
      </c>
    </row>
    <row r="10">
      <c r="A10" s="4" t="inlineStr">
        <is>
          <t>SCOP mínimo de la bomba de calor para alcanzar esa contribución</t>
        </is>
      </c>
      <c r="B10" s="13">
        <f>MAX(2.5,1/(1-B9))</f>
        <v/>
      </c>
      <c r="C10" s="4" t="inlineStr"/>
      <c r="D10" s="6" t="inlineStr">
        <is>
          <t>Erenov/Etot = 1 − 1/SCOP (apuntes ACS, BdC); SCOP ≥ 2,5 para ser renovable</t>
        </is>
      </c>
    </row>
    <row r="11">
      <c r="A11" s="4" t="inlineStr">
        <is>
          <t>SCOP de la bomba de calor elegida</t>
        </is>
      </c>
      <c r="B11" s="24" t="n">
        <v>3.6</v>
      </c>
      <c r="C11" s="4" t="inlineStr"/>
      <c r="D11" s="6" t="inlineStr">
        <is>
          <t>HIPÓTESIS: tomar el valor del catálogo del equipo (BdC alta temperatura)</t>
        </is>
      </c>
    </row>
    <row r="12">
      <c r="A12" s="4" t="inlineStr">
        <is>
          <t>Contribución renovable obtenida</t>
        </is>
      </c>
      <c r="B12" s="26">
        <f>1-1/B11</f>
        <v/>
      </c>
      <c r="C12" s="4" t="inlineStr"/>
      <c r="D12" s="6" t="inlineStr"/>
    </row>
    <row r="13">
      <c r="A13" s="4" t="inlineStr">
        <is>
          <t>Comprobación HE4</t>
        </is>
      </c>
      <c r="B13" s="13">
        <f>IF(B12&gt;=B9,"CUMPLE","NO CUMPLE: subir SCOP o añadir solar térmica")</f>
        <v/>
      </c>
      <c r="C13" s="4" t="inlineStr"/>
      <c r="D13" s="6" t="inlineStr"/>
    </row>
    <row r="14">
      <c r="A14" s="4" t="inlineStr">
        <is>
          <t>Temperatura agua fría de red (diseño, invierno)</t>
        </is>
      </c>
      <c r="B14" s="24" t="n">
        <v>10</v>
      </c>
      <c r="C14" s="4" t="inlineStr">
        <is>
          <t>ºC</t>
        </is>
      </c>
      <c r="D14" s="6" t="inlineStr">
        <is>
          <t>HIPÓTESIS: Barcelona, mes más frío (UNE 94002) — comprobar</t>
        </is>
      </c>
    </row>
    <row r="15">
      <c r="A15" s="4" t="inlineStr">
        <is>
          <t>Energía diaria necesaria</t>
        </is>
      </c>
      <c r="B15" s="13">
        <f>B8*4.186*(60-B14)/3600</f>
        <v/>
      </c>
      <c r="C15" s="4" t="inlineStr">
        <is>
          <t>kWh/día</t>
        </is>
      </c>
      <c r="D15" s="6" t="inlineStr">
        <is>
          <t>E = V·cp·(60 − T AF)</t>
        </is>
      </c>
    </row>
    <row r="16">
      <c r="A16" s="4" t="inlineStr">
        <is>
          <t>Horas de funcionamiento de la BdC</t>
        </is>
      </c>
      <c r="B16" s="20" t="n">
        <v>16</v>
      </c>
      <c r="C16" s="4" t="inlineStr">
        <is>
          <t>h/día</t>
        </is>
      </c>
      <c r="D16" s="6" t="inlineStr">
        <is>
          <t>Criterio de diseño adoptado</t>
        </is>
      </c>
    </row>
    <row r="17">
      <c r="A17" s="4" t="inlineStr">
        <is>
          <t>Potencia térmica bombas de calor</t>
        </is>
      </c>
      <c r="B17" s="13">
        <f>B15/B16</f>
        <v/>
      </c>
      <c r="C17" s="4" t="inlineStr">
        <is>
          <t>kW</t>
        </is>
      </c>
      <c r="D17" s="6" t="inlineStr">
        <is>
          <t>P = E / t</t>
        </is>
      </c>
    </row>
    <row r="18">
      <c r="A18" s="4" t="inlineStr">
        <is>
          <t>Volumen de acumulación a 60 ºC (criterio: 40 % de D)</t>
        </is>
      </c>
      <c r="B18" s="13">
        <f>0.4*B8</f>
        <v/>
      </c>
      <c r="C18" s="4" t="inlineStr">
        <is>
          <t>l</t>
        </is>
      </c>
      <c r="D18" s="6" t="inlineStr">
        <is>
          <t>Criterio de diseño adoptado (cubrir punta mañana/noche)</t>
        </is>
      </c>
    </row>
    <row r="19">
      <c r="A19" s="4" t="inlineStr">
        <is>
          <t>Nº de acumuladores en paralelo</t>
        </is>
      </c>
      <c r="B19" s="20" t="n">
        <v>4</v>
      </c>
      <c r="C19" s="4" t="inlineStr">
        <is>
          <t>ud</t>
        </is>
      </c>
      <c r="D19" s="6" t="inlineStr">
        <is>
          <t>Depósitos en sótano (enunciado cond. 41)</t>
        </is>
      </c>
    </row>
    <row r="20">
      <c r="A20" s="4" t="inlineStr">
        <is>
          <t>Volumen por acumulador</t>
        </is>
      </c>
      <c r="B20" s="13">
        <f>B18/B19</f>
        <v/>
      </c>
      <c r="C20" s="4" t="inlineStr">
        <is>
          <t>l</t>
        </is>
      </c>
      <c r="D20" s="6" t="inlineStr">
        <is>
          <t>Elegir el comercial superior</t>
        </is>
      </c>
    </row>
    <row r="21">
      <c r="A21" s="4" t="inlineStr">
        <is>
          <t>Caldera de gas natural de apoyo (100 % respaldo)</t>
        </is>
      </c>
      <c r="B21" s="13">
        <f>B17</f>
        <v/>
      </c>
      <c r="C21" s="4" t="inlineStr">
        <is>
          <t>kW</t>
        </is>
      </c>
      <c r="D21" s="6" t="inlineStr">
        <is>
          <t>Enunciado cond. 39: apoyo si la BdC no alcanza 60 ºC</t>
        </is>
      </c>
    </row>
    <row r="22">
      <c r="A22" s="4" t="inlineStr">
        <is>
          <t>Retorno de ACS</t>
        </is>
      </c>
      <c r="B22" s="13" t="inlineStr">
        <is>
          <t>Sí</t>
        </is>
      </c>
      <c r="C22" s="4" t="inlineStr"/>
      <c r="D22" s="6" t="inlineStr">
        <is>
          <t>Distancia &gt; 15 m desde la producción (CTE HS4); solo se dibuja (Anexo 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2026-10-06T13:19:49Z</dcterms:created>
  <dcterms:modified xsi:type="dcterms:W3CDTF">2026-10-06T13:54:07Z</dcterms:modified>
</cp:coreProperties>
</file>